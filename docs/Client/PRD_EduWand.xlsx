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codeName="ThisWorkbook" defaultThemeVersion="202300"/>
  <mc:AlternateContent xmlns:mc="http://schemas.openxmlformats.org/markup-compatibility/2006">
    <mc:Choice Requires="x15">
      <x15ac:absPath xmlns:x15ac="http://schemas.microsoft.com/office/spreadsheetml/2010/11/ac" url="/Users/melvynbrodie/Desktop/EduWand/EduWand/Application/"/>
    </mc:Choice>
  </mc:AlternateContent>
  <xr:revisionPtr revIDLastSave="0" documentId="13_ncr:1_{A71539DB-737F-EB4D-98B3-462DA42C9DBC}" xr6:coauthVersionLast="47" xr6:coauthVersionMax="47" xr10:uidLastSave="{00000000-0000-0000-0000-000000000000}"/>
  <bookViews>
    <workbookView xWindow="380" yWindow="500" windowWidth="28040" windowHeight="16940" activeTab="1" xr2:uid="{90242004-E3DF-7B41-86E5-972A6EA53886}"/>
  </bookViews>
  <sheets>
    <sheet name="Claude Log" sheetId="3" state="hidden" r:id="rId1"/>
    <sheet name="PRD" sheetId="4" r:id="rId2"/>
    <sheet name="Traditional" sheetId="1" state="hidden" r:id="rId3"/>
    <sheet name="EduWand" sheetId="2"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3" i="4" l="1"/>
  <c r="C22" i="4"/>
  <c r="L23" i="2"/>
  <c r="I23" i="2"/>
  <c r="L22" i="2"/>
  <c r="I22" i="2"/>
  <c r="L21" i="2"/>
  <c r="I21" i="2"/>
  <c r="L15" i="2"/>
  <c r="L14" i="2"/>
  <c r="L13" i="2"/>
  <c r="L12" i="2"/>
  <c r="L11" i="2"/>
  <c r="L10" i="2"/>
  <c r="L9" i="2"/>
  <c r="L8" i="2"/>
  <c r="L7" i="2"/>
  <c r="L6" i="2"/>
  <c r="L5" i="2"/>
  <c r="L4" i="2"/>
  <c r="L3" i="2"/>
  <c r="W41" i="2"/>
  <c r="W42" i="2" s="1"/>
  <c r="W43" i="2" s="1"/>
  <c r="L41" i="2"/>
  <c r="L42" i="2" s="1"/>
  <c r="L43" i="2" s="1"/>
  <c r="S27" i="2"/>
  <c r="T27" i="2" s="1"/>
  <c r="P31" i="2"/>
  <c r="P30" i="2"/>
  <c r="P29" i="2"/>
  <c r="P28" i="2"/>
  <c r="P27" i="2"/>
  <c r="P26" i="2"/>
  <c r="O31" i="2"/>
  <c r="O30" i="2"/>
  <c r="O29" i="2"/>
  <c r="O28" i="2"/>
  <c r="O27" i="2"/>
  <c r="O26" i="2"/>
  <c r="H26" i="2"/>
  <c r="I26" i="2" s="1"/>
  <c r="C28" i="2"/>
  <c r="C27" i="2"/>
  <c r="C26" i="2"/>
  <c r="W18" i="2"/>
  <c r="W19" i="2" s="1"/>
  <c r="W20" i="2" s="1"/>
  <c r="O6" i="2"/>
  <c r="O5" i="2"/>
  <c r="O4" i="2"/>
  <c r="O3" i="2"/>
  <c r="H11" i="2"/>
  <c r="I11" i="2" s="1"/>
  <c r="H10" i="2"/>
  <c r="H3" i="2"/>
  <c r="I3" i="2" s="1"/>
  <c r="B3" i="2"/>
  <c r="N3" i="2" s="1"/>
  <c r="B11" i="2"/>
  <c r="N11" i="2" s="1"/>
  <c r="L17" i="2"/>
  <c r="E17" i="2"/>
  <c r="C17" i="2"/>
  <c r="L16" i="2"/>
  <c r="E16" i="2"/>
  <c r="C16" i="2"/>
  <c r="E15" i="2"/>
  <c r="C15" i="2"/>
  <c r="E14" i="2"/>
  <c r="C14" i="2"/>
  <c r="E13" i="2"/>
  <c r="C13" i="2"/>
  <c r="E12" i="2"/>
  <c r="C12" i="2"/>
  <c r="E11" i="2"/>
  <c r="C11" i="2"/>
  <c r="E10" i="2"/>
  <c r="C10" i="2"/>
  <c r="E9" i="2"/>
  <c r="C9" i="2"/>
  <c r="E8" i="2"/>
  <c r="C8" i="2"/>
  <c r="E7" i="2"/>
  <c r="C7" i="2"/>
  <c r="E6" i="2"/>
  <c r="C6" i="2"/>
  <c r="E5" i="2"/>
  <c r="C5" i="2"/>
  <c r="E4" i="2"/>
  <c r="C4" i="2"/>
  <c r="E3" i="2"/>
  <c r="C3" i="2"/>
  <c r="M32" i="1"/>
  <c r="N32" i="1" s="1"/>
  <c r="M31" i="1"/>
  <c r="N31" i="1" s="1"/>
  <c r="M30" i="1"/>
  <c r="N30" i="1" s="1"/>
  <c r="M29" i="1"/>
  <c r="S28" i="2" s="1"/>
  <c r="T28" i="2" s="1"/>
  <c r="M28" i="1"/>
  <c r="N28" i="1" s="1"/>
  <c r="M27" i="1"/>
  <c r="N27" i="1" s="1"/>
  <c r="E29" i="1"/>
  <c r="F29" i="1" s="1"/>
  <c r="D29" i="1"/>
  <c r="F28" i="1"/>
  <c r="G28" i="1" s="1"/>
  <c r="F27" i="1"/>
  <c r="G27" i="1" s="1"/>
  <c r="M6" i="1"/>
  <c r="N6" i="1" s="1"/>
  <c r="M5" i="1"/>
  <c r="N5" i="1" s="1"/>
  <c r="K4" i="1"/>
  <c r="M4" i="1" s="1"/>
  <c r="S4" i="2" s="1"/>
  <c r="T4" i="2" s="1"/>
  <c r="M3" i="1"/>
  <c r="N3" i="1" s="1"/>
  <c r="F15" i="1"/>
  <c r="G15" i="1" s="1"/>
  <c r="F14" i="1"/>
  <c r="G14" i="1" s="1"/>
  <c r="F13" i="1"/>
  <c r="G13" i="1" s="1"/>
  <c r="F12" i="1"/>
  <c r="G12" i="1" s="1"/>
  <c r="D11" i="1"/>
  <c r="F11" i="1" s="1"/>
  <c r="G11" i="1" s="1"/>
  <c r="F10" i="1"/>
  <c r="G10" i="1" s="1"/>
  <c r="D9" i="1"/>
  <c r="F9" i="1" s="1"/>
  <c r="G9" i="1" s="1"/>
  <c r="F8" i="1"/>
  <c r="G8" i="1" s="1"/>
  <c r="F7" i="1"/>
  <c r="G7" i="1" s="1"/>
  <c r="F6" i="1"/>
  <c r="G6" i="1" s="1"/>
  <c r="E5" i="1"/>
  <c r="D5" i="1"/>
  <c r="D4" i="1"/>
  <c r="E4" i="1"/>
  <c r="F3" i="1"/>
  <c r="G3" i="1" s="1"/>
  <c r="A28" i="1"/>
  <c r="A29" i="1" s="1"/>
  <c r="A30" i="1" s="1"/>
  <c r="A31" i="1" s="1"/>
  <c r="A32" i="1" s="1"/>
  <c r="A33" i="1" s="1"/>
  <c r="A34" i="1" s="1"/>
  <c r="A35" i="1" s="1"/>
  <c r="A36" i="1" s="1"/>
  <c r="A37" i="1" s="1"/>
  <c r="A38" i="1" s="1"/>
  <c r="A39" i="1" s="1"/>
  <c r="A40" i="1" s="1"/>
  <c r="A41" i="1" s="1"/>
  <c r="A42" i="1" s="1"/>
  <c r="A43" i="1" s="1"/>
  <c r="H28" i="1"/>
  <c r="H29" i="1" s="1"/>
  <c r="H30" i="1" s="1"/>
  <c r="H31" i="1" s="1"/>
  <c r="H32" i="1" s="1"/>
  <c r="H33" i="1" s="1"/>
  <c r="H34" i="1" s="1"/>
  <c r="H35" i="1" s="1"/>
  <c r="H36" i="1" s="1"/>
  <c r="H37" i="1" s="1"/>
  <c r="H38" i="1" s="1"/>
  <c r="H39" i="1" s="1"/>
  <c r="H40" i="1" s="1"/>
  <c r="H41" i="1" s="1"/>
  <c r="H42" i="1" s="1"/>
  <c r="H43" i="1" s="1"/>
  <c r="H4" i="1"/>
  <c r="H5" i="1" s="1"/>
  <c r="H6" i="1" s="1"/>
  <c r="H7" i="1" s="1"/>
  <c r="H8" i="1" s="1"/>
  <c r="H9" i="1" s="1"/>
  <c r="H10" i="1" s="1"/>
  <c r="H11" i="1" s="1"/>
  <c r="H12" i="1" s="1"/>
  <c r="H13" i="1" s="1"/>
  <c r="H14" i="1" s="1"/>
  <c r="H15" i="1" s="1"/>
  <c r="H16" i="1" s="1"/>
  <c r="H17" i="1" s="1"/>
  <c r="A4" i="1"/>
  <c r="A5" i="1" s="1"/>
  <c r="A6" i="1" s="1"/>
  <c r="A7" i="1" s="1"/>
  <c r="A8" i="1" s="1"/>
  <c r="A9" i="1" s="1"/>
  <c r="A10" i="1" s="1"/>
  <c r="A11" i="1" s="1"/>
  <c r="A12" i="1" s="1"/>
  <c r="A13" i="1" s="1"/>
  <c r="A14" i="1" s="1"/>
  <c r="A15" i="1" s="1"/>
  <c r="A16" i="1" s="1"/>
  <c r="A17" i="1" s="1"/>
  <c r="B17" i="2" s="1"/>
  <c r="G29" i="1" l="1"/>
  <c r="H28" i="2"/>
  <c r="I28" i="2" s="1"/>
  <c r="B10" i="2"/>
  <c r="N10" i="2" s="1"/>
  <c r="H27" i="2"/>
  <c r="I27" i="2" s="1"/>
  <c r="B9" i="2"/>
  <c r="N9" i="2" s="1"/>
  <c r="H12" i="2"/>
  <c r="I12" i="2" s="1"/>
  <c r="S29" i="2"/>
  <c r="T29" i="2" s="1"/>
  <c r="B16" i="2"/>
  <c r="B8" i="2"/>
  <c r="N8" i="2" s="1"/>
  <c r="H13" i="2"/>
  <c r="S30" i="2"/>
  <c r="T30" i="2" s="1"/>
  <c r="B15" i="2"/>
  <c r="N15" i="2" s="1"/>
  <c r="B7" i="2"/>
  <c r="N7" i="2" s="1"/>
  <c r="H6" i="2"/>
  <c r="H14" i="2"/>
  <c r="I14" i="2" s="1"/>
  <c r="S3" i="2"/>
  <c r="B26" i="2"/>
  <c r="B27" i="2" s="1"/>
  <c r="B28" i="2" s="1"/>
  <c r="B29" i="2" s="1"/>
  <c r="B30" i="2" s="1"/>
  <c r="B31" i="2" s="1"/>
  <c r="B32" i="2" s="1"/>
  <c r="B33" i="2" s="1"/>
  <c r="B34" i="2" s="1"/>
  <c r="B35" i="2" s="1"/>
  <c r="B36" i="2" s="1"/>
  <c r="B37" i="2" s="1"/>
  <c r="B38" i="2" s="1"/>
  <c r="B39" i="2" s="1"/>
  <c r="B40" i="2" s="1"/>
  <c r="S31" i="2"/>
  <c r="T31" i="2" s="1"/>
  <c r="B14" i="2"/>
  <c r="N14" i="2" s="1"/>
  <c r="B6" i="2"/>
  <c r="N6" i="2" s="1"/>
  <c r="H7" i="2"/>
  <c r="H15" i="2"/>
  <c r="I41" i="2"/>
  <c r="I42" i="2" s="1"/>
  <c r="I43" i="2" s="1"/>
  <c r="B13" i="2"/>
  <c r="N13" i="2" s="1"/>
  <c r="B5" i="2"/>
  <c r="N5" i="2" s="1"/>
  <c r="H8" i="2"/>
  <c r="S5" i="2"/>
  <c r="T5" i="2" s="1"/>
  <c r="B12" i="2"/>
  <c r="N12" i="2" s="1"/>
  <c r="B4" i="2"/>
  <c r="N4" i="2" s="1"/>
  <c r="H9" i="2"/>
  <c r="S6" i="2"/>
  <c r="T6" i="2" s="1"/>
  <c r="S26" i="2"/>
  <c r="N26" i="2"/>
  <c r="N27" i="2" s="1"/>
  <c r="N28" i="2" s="1"/>
  <c r="N29" i="2" s="1"/>
  <c r="N30" i="2" s="1"/>
  <c r="N31" i="2" s="1"/>
  <c r="N32" i="2" s="1"/>
  <c r="N33" i="2" s="1"/>
  <c r="N34" i="2" s="1"/>
  <c r="N35" i="2" s="1"/>
  <c r="N36" i="2" s="1"/>
  <c r="N37" i="2" s="1"/>
  <c r="N38" i="2" s="1"/>
  <c r="N39" i="2" s="1"/>
  <c r="N40" i="2" s="1"/>
  <c r="H41" i="2"/>
  <c r="H42" i="2" s="1"/>
  <c r="H43" i="2" s="1"/>
  <c r="T26" i="2"/>
  <c r="I13" i="2"/>
  <c r="I10" i="2"/>
  <c r="M44" i="1"/>
  <c r="M45" i="1" s="1"/>
  <c r="M46" i="1" s="1"/>
  <c r="N29" i="1"/>
  <c r="F44" i="1"/>
  <c r="F45" i="1" s="1"/>
  <c r="F46" i="1" s="1"/>
  <c r="N4" i="1"/>
  <c r="M18" i="1"/>
  <c r="M19" i="1" s="1"/>
  <c r="M20" i="1" s="1"/>
  <c r="F4" i="1"/>
  <c r="H4" i="2" s="1"/>
  <c r="F5" i="1"/>
  <c r="G4" i="1"/>
  <c r="F18" i="1"/>
  <c r="F19" i="1" s="1"/>
  <c r="F20" i="1" s="1"/>
  <c r="I9" i="2" l="1"/>
  <c r="S41" i="2"/>
  <c r="S42" i="2" s="1"/>
  <c r="S43" i="2" s="1"/>
  <c r="S18" i="2"/>
  <c r="S19" i="2" s="1"/>
  <c r="S20" i="2" s="1"/>
  <c r="T3" i="2"/>
  <c r="T18" i="2" s="1"/>
  <c r="I44" i="2"/>
  <c r="T41" i="2"/>
  <c r="T42" i="2" s="1"/>
  <c r="T43" i="2" s="1"/>
  <c r="I15" i="2"/>
  <c r="I7" i="2"/>
  <c r="AF5" i="2" s="1"/>
  <c r="AE5" i="2"/>
  <c r="G5" i="1"/>
  <c r="H5" i="2"/>
  <c r="I4" i="2"/>
  <c r="AE4" i="2"/>
  <c r="I8" i="2"/>
  <c r="AE3" i="2"/>
  <c r="I6" i="2"/>
  <c r="T19" i="2" l="1"/>
  <c r="T20" i="2" s="1"/>
  <c r="T21" i="2"/>
  <c r="AF3" i="2"/>
  <c r="L18" i="2"/>
  <c r="L19" i="2" s="1"/>
  <c r="L20" i="2" s="1"/>
  <c r="I5" i="2"/>
  <c r="AF4" i="2" s="1"/>
  <c r="H18" i="2"/>
  <c r="H19" i="2" s="1"/>
  <c r="H20" i="2" s="1"/>
  <c r="AE6" i="2"/>
  <c r="AH6" i="2" s="1"/>
  <c r="AG5" i="2"/>
  <c r="T44" i="2"/>
  <c r="AG4" i="2" l="1"/>
  <c r="AH4" i="2"/>
  <c r="AG3" i="2"/>
  <c r="AF6" i="2"/>
  <c r="AH3" i="2"/>
  <c r="AH5" i="2"/>
  <c r="I18" i="2"/>
  <c r="I19" i="2" l="1"/>
  <c r="I20" i="2" s="1"/>
  <c r="AI3" i="2"/>
  <c r="AI5" i="2"/>
  <c r="AI6" i="2"/>
  <c r="AG6" i="2"/>
  <c r="AI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Melvyn Brodie</author>
  </authors>
  <commentList>
    <comment ref="C22" authorId="0" shapeId="0" xr:uid="{A0AE44B3-3688-9D4E-A14A-95C654422775}">
      <text>
        <r>
          <rPr>
            <b/>
            <sz val="10"/>
            <color rgb="FF000000"/>
            <rFont val="Tahoma"/>
            <family val="2"/>
          </rPr>
          <t>Linked (green) to the Time-Saving analysis — EduWand tab, cell I23. Hours reclaimed from NON-teaching workflows only: teaching hours are held unchanged at baseline (founder direction, 25-Jul-2026), and Doubt Solving is also excluded as it is categorised as Teaching. Source: Time-Saving analysis (this workbook) — EduWand tab, row 23.</t>
        </r>
      </text>
    </comment>
    <comment ref="C23" authorId="0" shapeId="0" xr:uid="{F282DF2F-6815-0745-958E-A4B1485D1B07}">
      <text>
        <r>
          <rPr>
            <b/>
            <sz val="10"/>
            <color rgb="FF000000"/>
            <rFont val="Tahoma"/>
            <family val="2"/>
          </rPr>
          <t>Linked (green) to the Time-Saving analysis — EduWand tab, cell I21. Baseline teacher workload 187.4 hrs/month falls to 133.8 hrs/month. NOTE: supersedes the earlier 38.8% figure, which assumed EduWand also reduced teaching hours. Source: Time-Saving analysis (this workbook) — EduWand tab, row 21.</t>
        </r>
      </text>
    </comment>
    <comment ref="C24" authorId="0" shapeId="0" xr:uid="{CB46A0DA-607B-CC40-A83E-586E0D461AA3}">
      <text>
        <r>
          <rPr>
            <b/>
            <sz val="10"/>
            <color rgb="FF000000"/>
            <rFont val="Tahoma"/>
            <family val="2"/>
          </rPr>
          <t>Platform supports institutions of roughly 500 to 3,500 students (schools and universities). Source: founder direction; EduWand segment sizing.</t>
        </r>
      </text>
    </comment>
    <comment ref="C25" authorId="0" shapeId="0" xr:uid="{7D09B7FA-E41C-A845-94D3-81AEED2D8811}">
      <text>
        <r>
          <rPr>
            <b/>
            <sz val="10"/>
            <color rgb="FF000000"/>
            <rFont val="Tahoma"/>
            <family val="2"/>
          </rPr>
          <t>Analyst estimate based on SIS migration benchmarks (Classter 8-16 wks; ClonePartner data-migration 4-8 wks). Assumes one-time CSV load; timeline driven mainly by source-data quality and teacher training. See the Data Migration &amp; Onboarding and Sources sections.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tc={C3AC2111-96B2-174D-B229-A59063431F6B}</author>
    <author>tc={EAB840FD-543C-4A48-9275-0C6AD38C1C83}</author>
    <author>tc={597F0970-9F97-A741-8B6E-64C80B28C93D}</author>
    <author>tc={AC38AC20-A545-4D43-BB60-3852D4593B0C}</author>
    <author>tc={37B45629-DE87-BE46-BCC9-7F87D06138E5}</author>
    <author>tc={8E9B445A-0321-EF4E-AC34-DC881CD2A589}</author>
    <author>tc={82601502-578B-6644-9ACC-82DF42FE6443}</author>
  </authors>
  <commentList>
    <comment ref="E3" authorId="0" shapeId="0" xr:uid="{C3AC2111-96B2-174D-B229-A59063431F6B}">
      <text>
        <t>[Threaded comment]
Your version of Excel allows you to read this threaded comment; however, any edits to it will get removed if the file is opened in a newer version of Excel. Learn more: https://go.microsoft.com/fwlink/?linkid=870924
Comment:
    Daily</t>
      </text>
    </comment>
    <comment ref="K3" authorId="1" shapeId="0" xr:uid="{EAB840FD-543C-4A48-9275-0C6AD38C1C83}">
      <text>
        <t>[Threaded comment]
Your version of Excel allows you to read this threaded comment; however, any edits to it will get removed if the file is opened in a newer version of Excel. Learn more: https://go.microsoft.com/fwlink/?linkid=870924
Comment:
    Averaged our considering the high usage during exams</t>
      </text>
    </comment>
    <comment ref="K5" authorId="2" shapeId="0" xr:uid="{597F0970-9F97-A741-8B6E-64C80B28C93D}">
      <text>
        <t>[Threaded comment]
Your version of Excel allows you to read this threaded comment; however, any edits to it will get removed if the file is opened in a newer version of Excel. Learn more: https://go.microsoft.com/fwlink/?linkid=870924
Comment:
    Averaged our considering the high usage during exams</t>
      </text>
    </comment>
    <comment ref="K6" authorId="3" shapeId="0" xr:uid="{AC38AC20-A545-4D43-BB60-3852D4593B0C}">
      <text>
        <t>[Threaded comment]
Your version of Excel allows you to read this threaded comment; however, any edits to it will get removed if the file is opened in a newer version of Excel. Learn more: https://go.microsoft.com/fwlink/?linkid=870924
Comment:
    Averaged our considering the high usage during exams</t>
      </text>
    </comment>
    <comment ref="E8" authorId="4" shapeId="0" xr:uid="{37B45629-DE87-BE46-BCC9-7F87D06138E5}">
      <text>
        <t>[Threaded comment]
Your version of Excel allows you to read this threaded comment; however, any edits to it will get removed if the file is opened in a newer version of Excel. Learn more: https://go.microsoft.com/fwlink/?linkid=870924
Comment:
    Daily</t>
      </text>
    </comment>
    <comment ref="E10" authorId="5" shapeId="0" xr:uid="{8E9B445A-0321-EF4E-AC34-DC881CD2A589}">
      <text>
        <t>[Threaded comment]
Your version of Excel allows you to read this threaded comment; however, any edits to it will get removed if the file is opened in a newer version of Excel. Learn more: https://go.microsoft.com/fwlink/?linkid=870924
Comment:
    Daily</t>
      </text>
    </comment>
    <comment ref="D13" authorId="6" shapeId="0" xr:uid="{82601502-578B-6644-9ACC-82DF42FE6443}">
      <text>
        <t>[Threaded comment]
Your version of Excel allows you to read this threaded comment; however, any edits to it will get removed if the file is opened in a newer version of Excel. Learn more: https://go.microsoft.com/fwlink/?linkid=870924
Comment:
    Assumed for a group of students at a time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tc={21A53C81-5619-8F42-9410-1ADAA1A3336D}</author>
    <author>tc={BC57BBE1-2DC0-3248-8458-92A8853DBF13}</author>
    <author>tc={B6DF5C60-1D3D-9C47-B62C-203B2C143151}</author>
    <author>Melvyn Brodie</author>
  </authors>
  <commentList>
    <comment ref="R3" authorId="0" shapeId="0" xr:uid="{21A53C81-5619-8F42-9410-1ADAA1A3336D}">
      <text>
        <t>[Threaded comment]
Your version of Excel allows you to read this threaded comment; however, any edits to it will get removed if the file is opened in a newer version of Excel. Learn more: https://go.microsoft.com/fwlink/?linkid=870924
Comment:
    We expect the student to continue using AI, only in a different manner</t>
      </text>
    </comment>
    <comment ref="G5" authorId="1" shapeId="0" xr:uid="{BC57BBE1-2DC0-3248-8458-92A8853DBF13}">
      <text>
        <t>[Threaded comment]
Your version of Excel allows you to read this threaded comment; however, any edits to it will get removed if the file is opened in a newer version of Excel. Learn more: https://go.microsoft.com/fwlink/?linkid=870924
Comment:
    not even comparing the time it would take an educator to create custom assignments for 30 kids!!!</t>
      </text>
    </comment>
    <comment ref="E11" authorId="2" shapeId="0" xr:uid="{B6DF5C60-1D3D-9C47-B62C-203B2C143151}">
      <text>
        <t>[Threaded comment]
Your version of Excel allows you to read this threaded comment; however, any edits to it will get removed if the file is opened in a newer version of Excel. Learn more: https://go.microsoft.com/fwlink/?linkid=870924
Comment:
    Educators have more time to teach in the class.</t>
      </text>
    </comment>
    <comment ref="G11" authorId="3" shapeId="0" xr:uid="{A020A113-90B4-4F4A-882D-F96E8FC7F9E6}">
      <text>
        <r>
          <rPr>
            <b/>
            <sz val="10"/>
            <color rgb="FF000000"/>
            <rFont val="Tahoma"/>
            <family val="2"/>
          </rPr>
          <t>Melvyn Brodie:</t>
        </r>
        <r>
          <rPr>
            <sz val="10"/>
            <color rgb="FF000000"/>
            <rFont val="Tahoma"/>
            <family val="2"/>
          </rPr>
          <t xml:space="preserve">
Teaching hours are NOT reduced by EduWand. Founder direction (25-Jul-2026): teaching time stays at baseline; EduWand reclaims administrative time only. Efficiency deliberately set to 0.</t>
        </r>
      </text>
    </comment>
    <comment ref="K11" authorId="3" shapeId="0" xr:uid="{4A46914D-DF24-EF48-9C5B-4BCAA4122D23}">
      <text>
        <r>
          <rPr>
            <b/>
            <sz val="10"/>
            <color rgb="FF000000"/>
            <rFont val="Tahoma"/>
            <family val="2"/>
          </rPr>
          <t>Melvyn Brodie:</t>
        </r>
        <r>
          <rPr>
            <sz val="10"/>
            <color rgb="FF000000"/>
            <rFont val="Tahoma"/>
            <family val="2"/>
          </rPr>
          <t xml:space="preserve">
Teaching hours are NOT reduced by EduWand + Infra either. Founder direction (25-Jul-2026).</t>
        </r>
      </text>
    </comment>
    <comment ref="I23" authorId="3" shapeId="0" xr:uid="{BEFFE532-10A0-7444-8B41-D34574281C09}">
      <text>
        <r>
          <rPr>
            <b/>
            <sz val="10"/>
            <color rgb="FF000000"/>
            <rFont val="Tahoma"/>
            <family val="2"/>
          </rPr>
          <t>Melvyn Brodie:</t>
        </r>
        <r>
          <rPr>
            <sz val="10"/>
            <color rgb="FF000000"/>
            <rFont val="Tahoma"/>
            <family val="2"/>
          </rPr>
          <t xml:space="preserve">
This is the defensible North-Star figure: hours reclaimed from NON-teaching workflows only. Excludes row 11 (Teaching, now unchanged) and row 7 (Doubt Solving, categorised as Teaching).</t>
        </r>
      </text>
    </comment>
  </commentList>
</comments>
</file>

<file path=xl/sharedStrings.xml><?xml version="1.0" encoding="utf-8"?>
<sst xmlns="http://schemas.openxmlformats.org/spreadsheetml/2006/main" count="770" uniqueCount="562">
  <si>
    <t>Teacher</t>
  </si>
  <si>
    <t>Student</t>
  </si>
  <si>
    <t>Time Taken</t>
  </si>
  <si>
    <t>Frequency Per Month</t>
  </si>
  <si>
    <t>Time Taken in a month</t>
  </si>
  <si>
    <t>Time Taken in a year</t>
  </si>
  <si>
    <t>Parent</t>
  </si>
  <si>
    <t>Administrator</t>
  </si>
  <si>
    <t>Attendance</t>
  </si>
  <si>
    <t>Lesson Planning</t>
  </si>
  <si>
    <t>Question Bank</t>
  </si>
  <si>
    <t>Content Research</t>
  </si>
  <si>
    <t>Doubt Solving</t>
  </si>
  <si>
    <t>Parent Communication</t>
  </si>
  <si>
    <t>Notebook Correction 
(Homework)</t>
  </si>
  <si>
    <t>Workflow</t>
  </si>
  <si>
    <t>Daily attendance at the start of the day, recording in registers/ERP system</t>
  </si>
  <si>
    <t>Each class needs to be planned and teachers keep records or what was done, and what are next classes aimed for and how they can deliver the same (eg: CBSE Mandated 5E lesson plans to be recorded by teachers for documentation)</t>
  </si>
  <si>
    <t>Currently only happens for quarter end exams, sources include external guides, competitive exam books, school purchased Books (all static material, nothing adjusting to the need and understanding of a kid)</t>
  </si>
  <si>
    <t>This would include the teacher trying to find online material from youtube, google to explain the same topics in the books available</t>
  </si>
  <si>
    <t>Happens immedietly whena students gets a chance to talk to the teacher, if this happens often after a class, takes up an entire lecture.</t>
  </si>
  <si>
    <t>LMS Update</t>
  </si>
  <si>
    <t>Any Learning material the teacher used in class is updated on an LMS Portal (which is never looked back on)</t>
  </si>
  <si>
    <t>Teachers get their students to do daily assignments in notebooks (K-12), which if the teacher has time, carries it back and forth from classrom to home to staff room to classroom, exposing risks to injury.</t>
  </si>
  <si>
    <t>In some schools parents are updated on a daily basis of what was done in class through Whatsapp. Rarely any school has a central app for communication. A teacher with a class of 25 students has to deal with 25 set of parents at a time, with updates on groups and responding to individual doubts.</t>
  </si>
  <si>
    <t>Total</t>
  </si>
  <si>
    <t>Teaching</t>
  </si>
  <si>
    <t>A K12 Teacher has 3-4 lectures per day</t>
  </si>
  <si>
    <t>Assembly</t>
  </si>
  <si>
    <t>Report Building</t>
  </si>
  <si>
    <t>Co Corricular Activities</t>
  </si>
  <si>
    <t>School Events</t>
  </si>
  <si>
    <t>NO TIME FOR PERSONAL AND PROFESSIONAL DEVELOPMENT</t>
  </si>
  <si>
    <t>Ad hoc reports of students/class/incedent for internal meetings</t>
  </si>
  <si>
    <t>Planning and conducting events/activities/picnics etc to keep students engaged</t>
  </si>
  <si>
    <t>Annual Event Planning - Assumption includes the amount spent on practice in that one month of prepping towards the events</t>
  </si>
  <si>
    <t>Every school holds an assembly everyday. Planning involves - news runs, thought of the day, pledge, notice announcments, awards, birthdays.</t>
  </si>
  <si>
    <t>Time Spent on AI for education</t>
  </si>
  <si>
    <t>Usage of AI in doing their homework without guardrails, numbing them to think</t>
  </si>
  <si>
    <t>Daily Average</t>
  </si>
  <si>
    <t>Weekly Average</t>
  </si>
  <si>
    <t>Time Spent in classroom</t>
  </si>
  <si>
    <t>Daily classes</t>
  </si>
  <si>
    <t>No Monitored Usage of AI</t>
  </si>
  <si>
    <t>Homework (if any:P)</t>
  </si>
  <si>
    <t>Homework from daily lectures</t>
  </si>
  <si>
    <t>Co-curricular activities (Projects,competitions etc)</t>
  </si>
  <si>
    <t>Teacher Interaction</t>
  </si>
  <si>
    <t>Check ins with teacher, getting updates on their child etc</t>
  </si>
  <si>
    <t>Sit with their children to help them with homework</t>
  </si>
  <si>
    <t>Child Interaction</t>
  </si>
  <si>
    <t>Administrative activities</t>
  </si>
  <si>
    <t>Admissions, PTM, Payments</t>
  </si>
  <si>
    <t>Vendor Management</t>
  </si>
  <si>
    <t>School Upgrades</t>
  </si>
  <si>
    <t>School Organization and Staffing</t>
  </si>
  <si>
    <t xml:space="preserve"> Communication and Public Relations</t>
  </si>
  <si>
    <t>Student Lifecycle</t>
  </si>
  <si>
    <t>Always looking to improve quality of the infrastructure of the schools, Professional Development of their staff, evaluation of their staff)</t>
  </si>
  <si>
    <t>Online presence</t>
  </si>
  <si>
    <t>Approving bills, co ordinating contracts, Budgeting and Buying</t>
  </si>
  <si>
    <t>Staffing teachers and managing their schedule, Leadership and Culture, Programming and building systems, Hiring and training</t>
  </si>
  <si>
    <t>From lead gen to conversion to the end of the year report of student performance</t>
  </si>
  <si>
    <t>Organisational Wellbeing</t>
  </si>
  <si>
    <t>General Interactions</t>
  </si>
  <si>
    <t>No Live Data to take precautions</t>
  </si>
  <si>
    <t>Huge Gap in what parents know about what is happening in class</t>
  </si>
  <si>
    <t>Effciency</t>
  </si>
  <si>
    <t>EduWand helps the teacher record attendance digitally, taking half the time and also tracing it live where the parents are also notifies immedietly to the parents. We also invest and setup biometric scanners to completely take the workflow off the educator for each chapter.</t>
  </si>
  <si>
    <t>EduWand with infra</t>
  </si>
  <si>
    <t>.</t>
  </si>
  <si>
    <t>Bio metric automates everything</t>
  </si>
  <si>
    <t>Lesson Studio helps teachers create learning material in minutes, without the need for promting and app hopping</t>
  </si>
  <si>
    <t>Dedicated hardware (tablets), enhances speed with local AI</t>
  </si>
  <si>
    <t>Lesson Studio helps teachers create reseach reports in minutes, without the need for promting and app hopping</t>
  </si>
  <si>
    <t>The Socratic chatbot helps the student; not by giving them the answer directly but guide them towards the answers, after a few tries, the student has the option to reach out to the teacher, and the teacher can answer the question</t>
  </si>
  <si>
    <t>The application gives a parent login where they can track live what is going on in their kid's classroom, with a direct chat with the teacher (teacher is notified and can get back to them at the earliest).</t>
  </si>
  <si>
    <t>No Upgrades</t>
  </si>
  <si>
    <t>Assignments are first graded by AI highlighting how the student performed, and what are the suggested next steps for the student to improve on, shortining the feedback loop and highlighting severe cases which go unidentified in traditional methods</t>
  </si>
  <si>
    <t>Any learning material created or used from the content library, is automatically linked in the classroom database. This is accesible to the parents and students for the entire academic year.</t>
  </si>
  <si>
    <t>Custom AI automation project layer enables the institute to automate SOP ased task with human in the loop mechanism</t>
  </si>
  <si>
    <t>Custom Live Analytical dashoard with the ERP Layer to look at the entire class data or a single student at any given time</t>
  </si>
  <si>
    <t>The lessonstudio can help the teachers make event plans and reports without the need for prompting and app hoping</t>
  </si>
  <si>
    <t>Time taken before EduWand in a month</t>
  </si>
  <si>
    <t>Time taken after EduWand in a month</t>
  </si>
  <si>
    <t>Time taken after EduWand + Infra in a month</t>
  </si>
  <si>
    <t>#</t>
  </si>
  <si>
    <t>Traditional Workflow  Description</t>
  </si>
  <si>
    <t>EduWand Workflow Description</t>
  </si>
  <si>
    <t>Students use AI todirectly find answers without putting in the effort to think which is very important for a kids development. However, with NEP pushing learining AI from 3rd grade onwards, it is not rationale to stop students from using AI today</t>
  </si>
  <si>
    <t>The student has a Socratic chatbot that they can use to use AI with guardrails in place and the socratic nature engages the students use their thinking</t>
  </si>
  <si>
    <t>NA</t>
  </si>
  <si>
    <t>EduWand with infra (Student Hardware is not yet planned)</t>
  </si>
  <si>
    <t>Daily Classes</t>
  </si>
  <si>
    <t>No change in Student classroom behaviour</t>
  </si>
  <si>
    <t>Daily/weekly personalised assignments shared by the teacher on the application</t>
  </si>
  <si>
    <t>Open Internet search</t>
  </si>
  <si>
    <t>Can use the AI socratic chatbot for the project</t>
  </si>
  <si>
    <t>One app for centralised communication</t>
  </si>
  <si>
    <t>One app for centralised student life cycle</t>
  </si>
  <si>
    <t>One cental dashboard to manage any vendor interaction</t>
  </si>
  <si>
    <t>Data analytics with agentic AI layer, helps the adminnistrator staff their educators efficiently</t>
  </si>
  <si>
    <t>We connect CPD program 3rd parties with institutions to provide training to their staff</t>
  </si>
  <si>
    <t>Everything is tracked from the first conversation to outbout messages to convert the lead and the entire student lifecycle digitally</t>
  </si>
  <si>
    <t>Similar workflow</t>
  </si>
  <si>
    <t>Central app for pushing notices to all stakeholders</t>
  </si>
  <si>
    <t>Time Saved</t>
  </si>
  <si>
    <t>Workflow Category</t>
  </si>
  <si>
    <t>Administration</t>
  </si>
  <si>
    <t>Class Planning/Grading</t>
  </si>
  <si>
    <t>Communication</t>
  </si>
  <si>
    <t>Administrative</t>
  </si>
  <si>
    <t>Parent Involvement</t>
  </si>
  <si>
    <t>similary leveraged with the socratic chatbot</t>
  </si>
  <si>
    <t>Time without EduWand</t>
  </si>
  <si>
    <t>Time with Eduwand</t>
  </si>
  <si>
    <t>Efficiency</t>
  </si>
  <si>
    <t>% Split without EduWand</t>
  </si>
  <si>
    <t>% Split with EduWand</t>
  </si>
  <si>
    <t>Assignment Lab helps educators create and grade personalised assignments for each kid in the class. For example, in a class of 30 students, based on the their historical performance, 40% of the assignment is customised for the kid. All of the data is analytically shown to the teacher at all times; LIVE!</t>
  </si>
  <si>
    <t>&lt; Grouped for outputs</t>
  </si>
  <si>
    <t>Turn #</t>
  </si>
  <si>
    <t>Date</t>
  </si>
  <si>
    <t>User Request</t>
  </si>
  <si>
    <t>Action Taken</t>
  </si>
  <si>
    <t>Details</t>
  </si>
  <si>
    <t>Outcome</t>
  </si>
  <si>
    <t>Asked me to review the whole workbook and explain what it is.</t>
  </si>
  <si>
    <t>Read both sheets (Traditional + EduWand) and summarised the model's purpose and structure.</t>
  </si>
  <si>
    <t>Identified it as a time-savings/value-prop model for EduWand AI EdTech across Teacher/Student/Parent/Admin personas; noted hardcoded (non-linked) values, no assumptions block, no source citations, formatting not yet to standards.</t>
  </si>
  <si>
    <t>Explanation delivered in chat; flagged golden-rule violations and offered to restructure into a linked, sourced, colour-coded model.</t>
  </si>
  <si>
    <t>Clarified PRD scope (tablets only, local AI = next year); asked whether ERP integration is technically feasible to smooth adoption; wants it broken into workflows, per-module risks, professional-skill research, and reviewed a PRD guide link.</t>
  </si>
  <si>
    <t>Researched ERP integration feasibility (global OneRoster/Ed-Fi standards + Indian ERP market) and reviewed provided PRD guide; broke ERP integration into 9 workflows; proposed connector-framework approach and reshaped PRD structure.</t>
  </si>
  <si>
    <t>Findings: Indian ERP market fragmented/proprietary (Entab closed/partnership-gated, Fedena &amp; OpenEduCat have REST APIs); no OneRoster/Ed-Fi adoption in India; recommend CSV-first connector framework + APIs where available + partnerships for incumbents. Added ERP Integration section + per-module Risks blocks; tablets-only, local AI to roadmap.</t>
  </si>
  <si>
    <t>Awaiting user approval to build. Two open questions: (1) which incumbent ERP pilot schools run, (2) system-of-record for attendance/marks (one-way vs two-way sync).</t>
  </si>
  <si>
    <t>Founder confirmed rip-and-replace intent (schools stop using old ERP; data on Google Cloud); approved CSV-first (no API); asked how long to shift a 1,000-student school off an existing ERP; asked me to confirm his (non-technical) understanding.</t>
  </si>
  <si>
    <t>Researched school/ERP migration timelines; confirmed founder's mental model (one-time CSV import, not live sync); reframed PRD integration approach and produced a pitch-ready answer.</t>
  </si>
  <si>
    <t>Benchmarks: SMB ERP go-live 6-12 wks; education SIS live 8-16 wks (driven by source-data quality); migration phase 4-8 wks; cleansing/mapping = 50-70% of effort; poor data quality #1 failure cause. Estimate for 1,000-student school via CSV: ~4-6 wks to go live (mostly cleanup+training, not import). Distinguished go-live vs full adoption (~10mo ramp already in model). PRD change: replace live-sync ERP framework with one-time 'Data Migration &amp; Onboarding' CSV engine + in-app data-quality checker; no API in V1.</t>
  </si>
  <si>
    <t>Founder's understanding confirmed correct. Awaiting explicit go-ahead to build the PRD tab (approach now simplified). Then build section-by-section per formatting rules.</t>
  </si>
  <si>
    <t>EduWand Platform — Product Requirements Document (PRD)</t>
  </si>
  <si>
    <t>1.  DOCUMENT CONTROL</t>
  </si>
  <si>
    <t>Document</t>
  </si>
  <si>
    <t>Version</t>
  </si>
  <si>
    <t>Product</t>
  </si>
  <si>
    <t>EduWand — an AI-native ecosystem for real classroom workflows (a product of LessonForge). Mobile + Web (iOS &amp; Android).</t>
  </si>
  <si>
    <t>Document owner</t>
  </si>
  <si>
    <t>Melvyn Brodie — Founder &amp; CEO, LessonForge</t>
  </si>
  <si>
    <t>Prepared for</t>
  </si>
  <si>
    <t>Fovia Infotech — external technology build partner (the team building the application)</t>
  </si>
  <si>
    <t>Contributors</t>
  </si>
  <si>
    <t>Aneesh Reddy Edunuru — Co-Founder &amp; CTO</t>
  </si>
  <si>
    <t>Status</t>
  </si>
  <si>
    <t>Confidentiality</t>
  </si>
  <si>
    <t>2.  PRODUCT VISION &amp; EXECUTIVE SUMMARY</t>
  </si>
  <si>
    <t>Vision</t>
  </si>
  <si>
    <t>Executive summary</t>
  </si>
  <si>
    <t>KEY FIGURES AT A GLANCE  (blue = hardcoded input / assumption; hover a value for its source)</t>
  </si>
  <si>
    <t>Metric</t>
  </si>
  <si>
    <t>Value</t>
  </si>
  <si>
    <t>Source</t>
  </si>
  <si>
    <t>Target go-live — 1,000-student school (weeks)</t>
  </si>
  <si>
    <t>4 – 6</t>
  </si>
  <si>
    <t>Analyst estimate — SIS migration benchmarks (see Section 8 &amp; 15)</t>
  </si>
  <si>
    <t>3.  PROBLEM STATEMENT</t>
  </si>
  <si>
    <t>Education starts with a conversation but gets buried under administrative work. EduWand targets five connected problems across the four stakeholders. Evidence is drawn from the Time-Saving analysis (this workbook) and the EduWand pitch deck.</t>
  </si>
  <si>
    <t>Stakeholder</t>
  </si>
  <si>
    <t>Problem today</t>
  </si>
  <si>
    <t>Evidence &amp; source</t>
  </si>
  <si>
    <t>Roughly half of a teacher's day goes to administrative workflows — attendance, lesson planning, notebook correction, parent communication, reports — instead of teaching.</t>
  </si>
  <si>
    <t>Time-Saving analysis: teacher baseline ~187 hrs/month. Pitch v2 — slide 2 (2/19).</t>
  </si>
  <si>
    <t>Students use AI to shortcut thinking (answers without effort), numbing the habit of learning; and they receive one-size-fits-all instruction with no personalisation.</t>
  </si>
  <si>
    <t>Pitch v2 — slide 2 (2/19); Time-Saving analysis (Student block).</t>
  </si>
  <si>
    <t>Parents feel disconnected — updates arrive on unorganised WhatsApp groups and they are barely aware of what happens in class.</t>
  </si>
  <si>
    <t>Pitch v2 — slide 2 (2/19); Time-Saving analysis (Parent block).</t>
  </si>
  <si>
    <t>School / Admin</t>
  </si>
  <si>
    <t>Leadership decides on historical, fragmented data; leads and the student lifecycle are tracked manually (slowing admissions); staff use personal devices, exposing the school to data-security and reputational risk.</t>
  </si>
  <si>
    <t>Time-Saving analysis: admin baseline ~179 hrs/month. Pitch v2 — slides 2 &amp; 5.</t>
  </si>
  <si>
    <t>System-level</t>
  </si>
  <si>
    <t>No data is systematically captured, tracked or processed across the institution, so nothing compounds into insight or personalisation.</t>
  </si>
  <si>
    <t>Pitch v2 — slide 2 (2/19).</t>
  </si>
  <si>
    <t>4.  GOALS &amp; NON-GOALS</t>
  </si>
  <si>
    <t>Goals</t>
  </si>
  <si>
    <t>Non-Goals (V1)</t>
  </si>
  <si>
    <t>5.  PERSONAS</t>
  </si>
  <si>
    <t>Persona</t>
  </si>
  <si>
    <t>Pains today</t>
  </si>
  <si>
    <t>What EduWand gives them</t>
  </si>
  <si>
    <t>School Leadership / Administrator</t>
  </si>
  <si>
    <t>Grow enrolment; run efficient operations; ensure quality &amp; compliance; make informed decisions.</t>
  </si>
  <si>
    <t>Decisions on stale, fragmented data; manual lead &amp; lifecycle tracking; vendor &amp; staffing overload (~179 hrs/mo).</t>
  </si>
  <si>
    <t>Live analytics dashboard; digital student lifecycle (enquiry → admission → reports); vendor &amp; staffing tools; central notices.</t>
  </si>
  <si>
    <t>Teach well; plan &amp; grade fast; keep parents informed; track each student's progress.</t>
  </si>
  <si>
    <t>~50% of the day on admin (attendance, planning, notebook correction, parent comms); working off personal devices.</t>
  </si>
  <si>
    <t>Lesson Studio (create material); Assignment Lab (personalised create + grade); digital attendance; one-tap parent updates; dedicated tablet.</t>
  </si>
  <si>
    <t>Learn effectively; get help when stuck; complete assignments; use AI the right way.</t>
  </si>
  <si>
    <t>AI shortcuts that numb thinking; one-size-fits-all instruction; slow doubt resolution.</t>
  </si>
  <si>
    <t>Socratic AI tutor (guides, does not hand over answers); personalised assignments; escalate to the teacher when still stuck.</t>
  </si>
  <si>
    <t>Stay informed about their child; communicate with the teacher; support learning at home.</t>
  </si>
  <si>
    <t>Disconnected; unorganised WhatsApp updates; little visibility into what happens in class.</t>
  </si>
  <si>
    <t>Parent login with a live classroom view; automated daily updates &amp; reminders; direct chat with the teacher.</t>
  </si>
  <si>
    <t>6.  SUCCESS METRICS</t>
  </si>
  <si>
    <t>Metrics are layered so everyone knows what 'working' means and who can move each one. The North-Star is the core outcome (teacher time reclaimed). Leading indicators are what the build partner can directly instrument and influence. Acceptance gates are thresholds the pilot must clear before wider rollout. Commercial metrics (ARR, attach, churn) are tracked in the financial model and only referenced here. Targets shown in blue are assumptions you can change.</t>
  </si>
  <si>
    <t>METRIC FRAMEWORK</t>
  </si>
  <si>
    <t>Layer</t>
  </si>
  <si>
    <t>Target</t>
  </si>
  <si>
    <t>How measured / owner</t>
  </si>
  <si>
    <t>North-Star</t>
  </si>
  <si>
    <t>Leading</t>
  </si>
  <si>
    <t>Teacher activation</t>
  </si>
  <si>
    <t>≥ 80% of licensed teachers active monthly</t>
  </si>
  <si>
    <t>Product analytics (matches model's 80% activation)</t>
  </si>
  <si>
    <t>Weekly active teachers</t>
  </si>
  <si>
    <t>≥ 70% of activated teachers weekly</t>
  </si>
  <si>
    <t>Product analytics</t>
  </si>
  <si>
    <t>Assignments AI-graded</t>
  </si>
  <si>
    <t>≥ 60% of assignments</t>
  </si>
  <si>
    <t>Assignment Lab telemetry</t>
  </si>
  <si>
    <t>Parent engagement</t>
  </si>
  <si>
    <t>≥ 50% of parents active monthly</t>
  </si>
  <si>
    <t>Parent app analytics</t>
  </si>
  <si>
    <t>NPS (teachers &amp; admins)</t>
  </si>
  <si>
    <t>≥ 40</t>
  </si>
  <si>
    <t>In-app survey</t>
  </si>
  <si>
    <t>Acceptance gate</t>
  </si>
  <si>
    <t>Pilot data-privacy sign-off</t>
  </si>
  <si>
    <t>100% of pilot schools</t>
  </si>
  <si>
    <t>Legal / onboarding checklist</t>
  </si>
  <si>
    <t>Pilot go-live time</t>
  </si>
  <si>
    <t>≤ 6 weeks (1,000-student school)</t>
  </si>
  <si>
    <t>Onboarding tracker</t>
  </si>
  <si>
    <t>Pilot ROI proof</t>
  </si>
  <si>
    <t>Time saved shown to decision-maker</t>
  </si>
  <si>
    <t>Pilot report</t>
  </si>
  <si>
    <t>7.  PRODUCT SCOPE — MODULES</t>
  </si>
  <si>
    <t>Description</t>
  </si>
  <si>
    <t>Lets teachers use AI without prompting or hopping between apps. Two sub-tools: Lesson Studio (create lesson plans, learning material, research reports and event plans in minutes) and Assignment Lab (create and grade personalised assignments for every student, with live analytics for the teacher).</t>
  </si>
  <si>
    <t>Key features</t>
  </si>
  <si>
    <t>User stories</t>
  </si>
  <si>
    <t>Functional requirements</t>
  </si>
  <si>
    <t>FR-AI-1  Generate lesson material from topic / curriculum inputs (board-aware: CBSE / ICSE / State).
FR-AI-2  Personalise assignment items using each student's performance history.
FR-AI-3  AI-grade submissions and produce feedback + next steps, with teacher override.
FR-AI-4  Surface live per-student / per-class analytics.
FR-AI-5  Auto-save all outputs to the classroom database, retrievable for the full academic year.
FR-AI-6  Operate on web and teacher tablet.</t>
  </si>
  <si>
    <t>Acceptance criteria</t>
  </si>
  <si>
    <t>•  A lesson plan is generated in under ~60 seconds.
•  Personalisation is applied to the configured percentage of items.
•  AI grading is validated against a teacher-graded sample within an agreed accuracy tolerance.
•  Analytics update in near real-time after a submission.
•  All generated content is stored and retrievable for the academic year.</t>
  </si>
  <si>
    <t>Risks &amp; mitigations</t>
  </si>
  <si>
    <t>The smart ERP layer captures everything happening in the institution and turns it into live data. It is the backbone the AI modules, dashboards and parent app read from, and — after migration — the single system of record on Google Cloud.</t>
  </si>
  <si>
    <t>•  Student, staff and class–section–teacher master data
•  Digital attendance — live, with instant parent notification
•  Fee management &amp; payments (via integrated gateway)
•  Admissions / enquiry (lead) tracking across the student lifecycle
•  Exams, marks and year-end personalised reports
•  Timetable &amp; scheduling; vendor management; central notices
•  Role-based live dashboards (leadership, teacher, parent, student)</t>
  </si>
  <si>
    <t>•  As an administrator, I can see live class and student data at any time.
•  As an administrator, I can track a lead from first enquiry through to admission.
•  As a teacher, I can mark attendance digitally and parents are notified instantly.</t>
  </si>
  <si>
    <t>FR-ERP-1  Maintain student / staff / class master data.
FR-ERP-2  Digital attendance with near-instant parent notification.
FR-ERP-3  Fee &amp; payment tracking via an integrated gateway.
FR-ERP-4  Manage the admissions / lead lifecycle.
FR-ERP-5  Record exams &amp; marks; generate year-end reports.
FR-ERP-6  Serve as the system of record consumed by all other modules.
FR-ERP-7  Role-based live dashboards; full audit log of changes.</t>
  </si>
  <si>
    <t>•  Parent notification fires within seconds of attendance being marked.
•  Dashboards reflect underlying changes in near real-time.
•  Fee status reconciles with the payment gateway.
•  Role-based access is enforced; unauthorised access is blocked and logged.
•  Every record is retrievable for the full academic year.</t>
  </si>
  <si>
    <t>A student-facing chatbot that helps students use AI without switching off their thinking. It does not hand over answers; it guides the student toward them with Socratic questioning. After a few attempts, the student can escalate the question to their teacher.</t>
  </si>
  <si>
    <t>•  As a student, when I am stuck I get guiding questions, not the final answer.
•  As a student, after a few tries I can send my question to my teacher.
•  As a teacher, I can see common doubts and step in where needed.</t>
  </si>
  <si>
    <t>A K-12 digital learning-content library aligned to CBSE, NCERT, SCERT and State boards, provided through content partners, for teachers to use in class and link into their lessons. Content is licensed from partners, not authored by EduWand.</t>
  </si>
  <si>
    <t>•  Board-aligned content (CBSE / ICSE / State / NCERT / SCERT)
•  Searchable by grade, subject and topic
•  Usable directly inside Lesson Studio
•  Content used in class is auto-linked to the classroom database and accessible to students and parents for the year
•  Partner-sourced through the Digital Content Partner</t>
  </si>
  <si>
    <t>•  As a teacher, I can find board-aligned material for a topic and drop it into my lesson.
•  As a student or parent, I can access the material used in class for the whole academic year.</t>
  </si>
  <si>
    <t>FR-DL-1  Catalogue board-aligned content, searchable by grade / subject / topic / board.
FR-DL-2  Use library content within Lesson Studio.
FR-DL-3  Auto-link used content to the classroom database.
FR-DL-4  Enforce entitlement — only Library-attached students access paid content.
FR-DL-5  Ingest partner content through a defined pipeline.</t>
  </si>
  <si>
    <t>•  Content is searchable and filterable by board, grade and subject.
•  Used content is linked and accessible for the academic year.
•  Only Library-attached students can access paid content.</t>
  </si>
  <si>
    <t>Dedicated teacher tablets, pre-loaded with EduWand, provided to schools (especially those signing 12-month contracts) so teachers work on EduWand rather than personal devices — improving speed and removing the data-security and reputational risk of personal-device use. Student hardware and biometric scanners are NOT in V1 (student hardware is not yet planned; biometrics deferred). On-device / local AI is a Year-2 roadmap item.</t>
  </si>
  <si>
    <t>•  Managed teacher tablets pre-loaded with EduWand
•  Mobile device management (MDM) for security and policy
•  Usable on low bandwidth; graceful offline behaviour where possible
•  (Future — Year 2) local AI acceleration on device</t>
  </si>
  <si>
    <t>•  As a teacher, I have a dedicated device for EduWand, so I don't use my personal phone or laptop.
•  As an administrator, school data stays on managed devices, not personal ones.</t>
  </si>
  <si>
    <t>FR-HW-1  EduWand runs on managed teacher tablets (defined minimum spec).
FR-HW-2  Mobile device management: policy enforcement and remote wipe.
FR-HW-3  Secure authentication on managed devices.
FR-HW-4  Graceful low-bandwidth / offline behaviour.</t>
  </si>
  <si>
    <t>•  The app runs on the target tablet specification.
•  A lost or stolen device can be remotely wiped.
•  The app remains usable on low bandwidth.</t>
  </si>
  <si>
    <t>How switching works</t>
  </si>
  <si>
    <t>APPROACH</t>
  </si>
  <si>
    <t>Approach</t>
  </si>
  <si>
    <t>One-time CSV load per data object, plus an in-app data-quality checker that flags bad rows before they enter EduWand. No live API integration in V1. (Direct API connectors remain a future option only if a specific school insists on keeping its old ERP — unlikely given the replace model.)</t>
  </si>
  <si>
    <t>DATA OBJECTS MIGRATED  (one-time CSV load)</t>
  </si>
  <si>
    <t>Data object</t>
  </si>
  <si>
    <t>What is loaded</t>
  </si>
  <si>
    <t>Key risk</t>
  </si>
  <si>
    <t>1  Student master</t>
  </si>
  <si>
    <t>Profile, class/section, enrolment</t>
  </si>
  <si>
    <t>Schema differs across ERPs; stale records</t>
  </si>
  <si>
    <t>2  Roster</t>
  </si>
  <si>
    <t>Class–section–teacher–subject mapping</t>
  </si>
  <si>
    <t>Mid-year changes need a re-load</t>
  </si>
  <si>
    <t>3  Attendance</t>
  </si>
  <si>
    <t>Current year (history optional)</t>
  </si>
  <si>
    <t>Volume; historical data often messy</t>
  </si>
  <si>
    <t>4  Fees / payments</t>
  </si>
  <si>
    <t>Fee heads &amp; payment status</t>
  </si>
  <si>
    <t>Financial sensitivity; reconciliation</t>
  </si>
  <si>
    <t>5  Timetable</t>
  </si>
  <si>
    <t>Scheduling</t>
  </si>
  <si>
    <t>Format varies by school</t>
  </si>
  <si>
    <t>6  Exam marks</t>
  </si>
  <si>
    <t>Marks &amp; grades</t>
  </si>
  <si>
    <t>Board-format differences (CBSE/ICSE/State)</t>
  </si>
  <si>
    <t>7  Parent contacts</t>
  </si>
  <si>
    <t>Guardian details &amp; relationships</t>
  </si>
  <si>
    <t>DPDP consent; duplicates / dirty data</t>
  </si>
  <si>
    <t>8  Admission enquiries</t>
  </si>
  <si>
    <t>Leads &amp; pipeline</t>
  </si>
  <si>
    <t>Overlaps ERP CRM; may be incomplete</t>
  </si>
  <si>
    <t>9  Staff / HR master</t>
  </si>
  <si>
    <t>Staff records</t>
  </si>
  <si>
    <t>PII; access scoping</t>
  </si>
  <si>
    <t>ONBOARDING TIMELINE  (~4–6 weeks, 1,000-student school)</t>
  </si>
  <si>
    <t>Timeline</t>
  </si>
  <si>
    <t>•  Week 0 — Kickoff: identify the school's data owner, export CSVs from the old ERP, agree the go-live date.
•  Weeks 1–2 — Cleanse &amp; map: run the data-quality checker, fix flagged rows, map old fields to EduWand (this is 50–70% of the effort).
•  Week 3 — Test load &amp; validate: dry-run load; the admin reviews migrated data for accuracy.
•  Week 4 — Configure &amp; train: set up classes and roles; run the AI teacher workshop (CPD).
•  Weeks 5–6 — Go-live &amp; support: switch off the old ERP; hypercare support. Deep adoption then ramps over months.</t>
  </si>
  <si>
    <t>MIGRATION ENGINE — FUNCTIONAL REQUIREMENTS</t>
  </si>
  <si>
    <t>FR-MIG-1  Upload a CSV per data object.
FR-MIG-2  Auto-validate and flag bad rows (data-quality checker) with guided fixes.
FR-MIG-3  Field-mapping interface: old ERP columns → EduWand fields.
FR-MIG-4  Dry-run / test load with a validation report.
FR-MIG-5  Confirm &amp; commit; EduWand becomes the system of record on Google Cloud.
FR-MIG-6  Provide downloadable CSV templates per object.</t>
  </si>
  <si>
    <t>•  Poor source-data quality (the #1 cause of migration failure) → data-quality checker and guided cleanup before load.
•  Old ERP won't export cleanly → provide CSV templates and a manual-entry fallback.
•  Historical-data scope creep → V1 loads current-year master, contacts and fees; history is optional / phased.
•  Teacher change-management → AI teacher workshops (CPD certificate) at onboarding.</t>
  </si>
  <si>
    <t>EduWand captures the whole student lifecycle in one app — from first enquiry to the year-end report — so nothing falls through the cracks and every stage feeds the next. All stages are DPDP-compliant and board-aligned (CBSE / ICSE / State). (Source: EduWand Pitch v2 — slide 6.)</t>
  </si>
  <si>
    <t>Stage</t>
  </si>
  <si>
    <t>What happens</t>
  </si>
  <si>
    <t>Modules involved</t>
  </si>
  <si>
    <t>1  Admission enquiry</t>
  </si>
  <si>
    <t>Every interaction is captured from the first enquiry; automated reminders and notices nurture leads towards admission.</t>
  </si>
  <si>
    <t>2  Onboarding / admission</t>
  </si>
  <si>
    <t>Fee management and student-profile creation, all in one app.</t>
  </si>
  <si>
    <t>Smart ERP (fees, student profile)</t>
  </si>
  <si>
    <t>3  Personalised education</t>
  </si>
  <si>
    <t>The teacher creates customised material and assignments for each student; the student learns with the Socratic tutor.</t>
  </si>
  <si>
    <t>AI Module, Socratic Tutor, Digital Library</t>
  </si>
  <si>
    <t>4  Live data reports</t>
  </si>
  <si>
    <t>Teacher, administrator, parent and student can track everything, live.</t>
  </si>
  <si>
    <t>Smart ERP dashboards, Parent app</t>
  </si>
  <si>
    <t>5  Year-end personalised reports</t>
  </si>
  <si>
    <t>A custom, personalised report is built for every child from the year's data.</t>
  </si>
  <si>
    <t>Smart ERP + AI Module</t>
  </si>
  <si>
    <t>Non-functional requirements describe how well the system must behave — not new features, but the quality bars every feature must meet.</t>
  </si>
  <si>
    <t>Category</t>
  </si>
  <si>
    <t>Requirement</t>
  </si>
  <si>
    <t>Data privacy &amp; compliance</t>
  </si>
  <si>
    <t>Security</t>
  </si>
  <si>
    <t>Encryption in transit and at rest; role-based access control; audit logging; secure authentication (SSO / OAuth); device management and remote wipe on tablets.</t>
  </si>
  <si>
    <t>Performance</t>
  </si>
  <si>
    <t>Dashboards and analytics update in near real-time; lesson generation in under ~60 seconds; responsive on low-end devices.</t>
  </si>
  <si>
    <t>Scalability</t>
  </si>
  <si>
    <t>Availability &amp; reliability</t>
  </si>
  <si>
    <t>High availability for the system of record; regular backups; disaster recovery; monitored uptime.</t>
  </si>
  <si>
    <t>Platforms &amp; compatibility</t>
  </si>
  <si>
    <t>Mobile (iOS &amp; Android) and web; usable on low bandwidth; graceful offline behaviour where possible.</t>
  </si>
  <si>
    <t>Localisation &amp; accessibility</t>
  </si>
  <si>
    <t>Multi-board (CBSE / ICSE / State); English first with regional-language readiness; accessible UI.</t>
  </si>
  <si>
    <t>Hosting</t>
  </si>
  <si>
    <t>Runs on Google Cloud, India region.</t>
  </si>
  <si>
    <t>ATTENTION — Data privacy is a confirmed deal-breaker in sales (pilot learning). DPDP compliance is a launch gate, not a nice-to-have: no pilot proceeds without a signed data agreement.</t>
  </si>
  <si>
    <t>Live data is a core promise ('Live Data | Informed Decisions'). The platform captures every interaction across the lifecycle and turns it into role-based, near real-time views.</t>
  </si>
  <si>
    <t>Dashboard / consumer</t>
  </si>
  <si>
    <t>Key data &amp; views</t>
  </si>
  <si>
    <t>Leadership / Admin</t>
  </si>
  <si>
    <t>Live school-wide KPIs: enrolment funnel, attendance, fee collection, staff utilisation — with drill-down to any class or single student.</t>
  </si>
  <si>
    <t>Per-student and per-class performance, assignment analytics, and common doubt / struggle areas — updated live.</t>
  </si>
  <si>
    <t>The child's attendance, daily updates, assignments and reports; plus a direct chat channel with the teacher.</t>
  </si>
  <si>
    <t>Own assignments, feedback, progress and Socratic-tutor history.</t>
  </si>
  <si>
    <t>Foundational data captured</t>
  </si>
  <si>
    <t>Analytics requirements</t>
  </si>
  <si>
    <t>13.  RELEASE PLAN &amp; ROADMAP</t>
  </si>
  <si>
    <t>Phase</t>
  </si>
  <si>
    <t>Timing</t>
  </si>
  <si>
    <t>Scope / goals</t>
  </si>
  <si>
    <t>MVP</t>
  </si>
  <si>
    <t>12-month goal</t>
  </si>
  <si>
    <t>30-month goal</t>
  </si>
  <si>
    <t>Hardware moat; local (on-device) AI; own learning products.</t>
  </si>
  <si>
    <t>60-month goal</t>
  </si>
  <si>
    <t>Become the one-stop shop for all school solutions.</t>
  </si>
  <si>
    <t>V1 / MVP scope</t>
  </si>
  <si>
    <t>GTM at launch</t>
  </si>
  <si>
    <t>•  Positioning: the AI specialist for educational institutes.
•  Indian education expos from October 2026.
•  AI teacher workshops (8 hours / 2 days) with a CPD certificate.
•  Free product/device for schools signing 12-month contracts.</t>
  </si>
  <si>
    <t>14.  ASSUMPTIONS, DEPENDENCIES &amp; OPEN QUESTIONS</t>
  </si>
  <si>
    <t>ASSUMPTIONS</t>
  </si>
  <si>
    <t>General</t>
  </si>
  <si>
    <t>DEPENDENCIES</t>
  </si>
  <si>
    <t>Dependencies</t>
  </si>
  <si>
    <t>OPEN QUESTIONS  (need a decision)</t>
  </si>
  <si>
    <t>Open questions</t>
  </si>
  <si>
    <t>15.  SOURCES &amp; REFERENCES</t>
  </si>
  <si>
    <t>Used for</t>
  </si>
  <si>
    <t>Reference / link</t>
  </si>
  <si>
    <t>Classter — SIS Migration Costs</t>
  </si>
  <si>
    <t>Migration timeline benchmark (8–16 weeks)</t>
  </si>
  <si>
    <t>classter.com/blog/edtech/sis-migration-costs-what-vendors-dont-tell-you</t>
  </si>
  <si>
    <t>ClonePartner — ERP Migration vs Implementation</t>
  </si>
  <si>
    <t>Migration phase 4–8 wks; cleansing 50–70% of effort</t>
  </si>
  <si>
    <t>clonepartner.com/blog/erp-data-migration-vs-implementation-whats-the-difference</t>
  </si>
  <si>
    <t>Rand Group — ERP Implementation Timeline</t>
  </si>
  <si>
    <t>SMB go-live 6–12 weeks</t>
  </si>
  <si>
    <t>randgroup.com/insights/services/solution-implementation/erp-implementation-timeline</t>
  </si>
  <si>
    <t>1EdTech — OneRoster standard</t>
  </si>
  <si>
    <t>Interoperability standard context (CSV + REST)</t>
  </si>
  <si>
    <t>1edtech.org/standards/oneroster</t>
  </si>
  <si>
    <t>Entab CampusCare</t>
  </si>
  <si>
    <t>Indian incumbent school-ERP context</t>
  </si>
  <si>
    <t>entab.in/school-erp-software.html</t>
  </si>
  <si>
    <t>DPDP Act 2023</t>
  </si>
  <si>
    <t>Student-data privacy compliance</t>
  </si>
  <si>
    <t>Government of India</t>
  </si>
  <si>
    <t>ccforpms — How to write a PRD</t>
  </si>
  <si>
    <t>PRD methodology reference</t>
  </si>
  <si>
    <t>ccforpms.com/advanced/write-prd</t>
  </si>
  <si>
    <t>End of document — EduWand Platform PRD v1.0 (Draft). Prepared for Fovia Infotech. Confidential.</t>
  </si>
  <si>
    <t>Approved the PRD build; asked me to build it out thoroughly.</t>
  </si>
  <si>
    <t>Built a complete, colour-coded, sourced PRD as a new 'PRD' tab (15 sections, rows 2-218).</t>
  </si>
  <si>
    <t>Sections: Doc Control, Vision+Key Figures (blue sourced inputs), Problem Statement, Goals/Non-Goals, Personas, Success Metrics (North-Star/leading/gate), Product Scope (AI, Smart ERP, Socratic Tutor, Digital Library, Hardware — each with features/user stories/FRs/acceptance/risks), Data Migration &amp; Onboarding (one-time CSV, 9 objects, ~4-6wk timeline), User Journey, NFRs (DPDP call-out), Data &amp; Analytics, Pricing &amp; Entitlement (prices linked green to Key Figures), Roadmap, Assumptions/Dependencies/Open Questions (straight-line=pink, open Qs highlighted), Sources. Golden rules applied: A1 spacer, content from B2, ₹ 1-decimal, no gridlines, colour code, source notes.</t>
  </si>
  <si>
    <t>Verified: 15 sections, 0 formula errors, gridlines off, linked prices resolve (=C31..C35). Awaiting founder review; can hand to PowerPoint/Word for a doc version; open question #1 (which incumbent ERP) still needed.</t>
  </si>
  <si>
    <t>~50 institutions; mobile-app maturity; all four modules attaching.</t>
  </si>
  <si>
    <t>An AI-native ecosystem for real classroom workflows  ·  Product of LessonForge  ·  Prepared for Fovia Infotech to scope build effort, timeline &amp; cost</t>
  </si>
  <si>
    <t>Institutions supported (size range)</t>
  </si>
  <si>
    <t>500 – 3,500</t>
  </si>
  <si>
    <t>Founder direction / platform scope</t>
  </si>
  <si>
    <t>Lesson Studio weekly usage</t>
  </si>
  <si>
    <t>≥ 50% of teachers weekly</t>
  </si>
  <si>
    <t>EduWand's product is an Enrolment Growth Engine (the flagship, built first) plus supporting modules and an optional hardware layer. Each is specified below with features, user stories, functional requirements, acceptance criteria and risks. BUILD PRIORITY: Section 7.1 is Priority 1 — the differentiator schools buy first; 7.2–7.6 bring the platform to parity with existing ERPs and are built afterwards. For the build team: a 'functional requirement' is what the system must do; an 'acceptance criterion' is the testable condition that proves it is done.</t>
  </si>
  <si>
    <t>•  ERP scope is large → phase delivery by data object; do not build every feature at once.
•  Migrated-data quality → in-app data-quality checker at onboarding (see the Data Migration &amp; Onboarding section).
•  As source of truth, availability is critical → cloud redundancy, backups, monitoring.
•  Financial &amp; PII sensitivity → encryption, access controls, reconciliation, audit trail.</t>
  </si>
  <si>
    <t>•  Content licensing &amp; rights → secure partner agreements.
•  Board coverage gaps → phase boards, prioritise CBSE first.
•  Partner content quality → review and ratings.
•  Access control → enforce entitlement so only entitled students consume content.</t>
  </si>
  <si>
    <t>•  Hardware provisioning cost &amp; logistics of issuing and managing teacher tablets → phase rollout; consider lease options.
•  Device loss / security → MDM, encryption, remote wipe.
•  Support burden → clear device-support SOP.
•  Scope discipline → keep student hardware and biometrics out of V1.</t>
  </si>
  <si>
    <t>9.  DATA MIGRATION &amp; ONBOARDING</t>
  </si>
  <si>
    <t>10.  CORE USER JOURNEY — STUDENT LIFECYCLE</t>
  </si>
  <si>
    <t>11.  NON-FUNCTIONAL REQUIREMENTS (NFRs)</t>
  </si>
  <si>
    <t>12.  DATA &amp; ANALYTICS REQUIREMENTS</t>
  </si>
  <si>
    <t>7.1   ★ ENROLMENT GROWTH ENGINE — Enquiry Capture &amp; Admissions Automation   (PRIORITY 1 — BUILD FIRST)</t>
  </si>
  <si>
    <t>•  Omni-channel enquiry capture: phone call, walk-in, website form, WhatsApp, referral, expo/event, social — anyone who talks to anyone at the school.
•  Structured enquiry record: contact, source, grade/board interest, status, owner, timestamps, notes.
•  Configurable admissions pipeline: New → Contacted → Visit → Application → Admitted → Enrolled (or Lost, with reason).
•  Automated follow-up: templated SMS / WhatsApp / email reminders &amp; notices; scheduled drip sequences; auto-response to new enquiries.
•  Task assignment &amp; reminders to counsellors / front-desk staff.
•  Admissions workflow: application, document collection, admission confirmation, handoff to student profile.
•  Duplicate detection &amp; merge.
•  Analytics: enquiry volume by source, conversion funnel, conversion rate, year-on-year enrolment growth, counsellor performance.</t>
  </si>
  <si>
    <t>•  As front-desk staff, when a parent calls, I capture the enquiry in seconds with source and interest.
•  As an admissions counsellor, I am reminded to follow up and can send templated WhatsApp / SMS notices.
•  As school leadership, I see the enquiry-to-admission funnel and conversion rate live, and track enrolment growth year on year.
•  As a counsellor, duplicate enquiries for the same family are flagged and merged.</t>
  </si>
  <si>
    <t>•  An enquiry can be logged in under ~30 seconds with mandatory fields.
•  Automated follow-ups fire on schedule and are logged against the enquiry.
•  Funnel and conversion analytics update in near real-time.
•  Duplicates are detected at entry.
•  Messaging consent is captured before any automated message is sent.</t>
  </si>
  <si>
    <t>•  WhatsApp / SMS API approval &amp; templates → start early; use approved template messages; comply with WhatsApp Business policy (external approval lead-time).
•  Messaging consent (DPDP) → explicit opt-in; unsubscribe handling.
•  Enquiry data quality → mandatory fields, validation, dedupe.
•  Front-desk adoption → fast, simple capture UI; staff training.</t>
  </si>
  <si>
    <t>7.2   AI MODULE  —  Lesson Studio &amp; Assignment Lab</t>
  </si>
  <si>
    <t>7.3   SMART ERP MODULE</t>
  </si>
  <si>
    <t>7.4   SOCRATIC AI TUTOR</t>
  </si>
  <si>
    <t>7.5   DIGITAL CONTENT LIBRARY</t>
  </si>
  <si>
    <t>7.6   HARDWARE / INFRASTRUCTURE LAYER   (Optional)</t>
  </si>
  <si>
    <t>8.  BUILD SCOPE &amp; EFFORT GUIDE   (for time &amp; cost estimation)</t>
  </si>
  <si>
    <t>This section exists so Fovia can estimate development time and cost. It lists every buildable component with its priority and relative complexity, and the main drivers of effort. Using the specs in Section 7, Fovia is asked to return a workplan: effort (person-weeks), timeline and cost per phase.</t>
  </si>
  <si>
    <t>Component</t>
  </si>
  <si>
    <t>Priority</t>
  </si>
  <si>
    <t>Complexity</t>
  </si>
  <si>
    <t>Key effort drivers</t>
  </si>
  <si>
    <t>Enrolment Growth Engine (7.1)</t>
  </si>
  <si>
    <t>High</t>
  </si>
  <si>
    <t>Smart ERP core (7.3)</t>
  </si>
  <si>
    <t>Data-migration engine (Sec 9)</t>
  </si>
  <si>
    <t>Medium</t>
  </si>
  <si>
    <t>CSV templates per object; validation &amp; data-quality checker; field-mapping UI; dry-run loads</t>
  </si>
  <si>
    <t>Platform foundations</t>
  </si>
  <si>
    <t>P1</t>
  </si>
  <si>
    <t>Authentication &amp; roles; notification infrastructure; analytics telemetry; Google Cloud setup (India region)</t>
  </si>
  <si>
    <t>AI Module (7.2)</t>
  </si>
  <si>
    <t>P2</t>
  </si>
  <si>
    <t>Socratic AI Tutor (7.4)</t>
  </si>
  <si>
    <t>Medium–High</t>
  </si>
  <si>
    <t>Guardrail engine &amp; red-teaming; escalation flow; safety / moderation filters</t>
  </si>
  <si>
    <t>Digital Content Library (7.5)</t>
  </si>
  <si>
    <t>Partner content ingestion; search by board/grade/subject; entitlement enforcement</t>
  </si>
  <si>
    <t>Parent &amp; student apps (Sec 10)</t>
  </si>
  <si>
    <t>Live updates; teacher chat; push notifications</t>
  </si>
  <si>
    <t>Hardware / MDM layer (7.6)</t>
  </si>
  <si>
    <t>P3 — optional</t>
  </si>
  <si>
    <t>Low–Medium</t>
  </si>
  <si>
    <t>MDM configuration; device provisioning &amp; support SOP</t>
  </si>
  <si>
    <t>Phasing</t>
  </si>
  <si>
    <t>Ask of Fovia</t>
  </si>
  <si>
    <t>Enquiry-to-admission conversion</t>
  </si>
  <si>
    <t>All enquiries captured digitally from day 1; conversion uplift year on year</t>
  </si>
  <si>
    <t>Enrolment Growth Engine analytics</t>
  </si>
  <si>
    <t>Enrolment Growth Engine (enquiry capture &amp; admissions automation)</t>
  </si>
  <si>
    <t>Repositioned Enquiry-Capture/Enrolment-Growth as the flagship to build first; remove ALL pricing/margins; reframe PRD so Fovia can estimate build time &amp; cost; recheck. (Full rebuild was declined, so edits done in place.)</t>
  </si>
  <si>
    <t>Edited PRD in place: added flagship module, added a Build Scope guide, scrubbed pricing, reframed purpose, renumbered.</t>
  </si>
  <si>
    <t>Added 7.1 ★ Enrolment Growth Engine (Priority-1, detailed FRs: omni-channel capture, admissions pipeline, automated SMS/WhatsApp/email follow-up, analytics); renumbered modules 7.2-7.6; new Section 8 'Build Scope &amp; Effort Guide' (component × priority × complexity × effort drivers + ask Fovia for workplan). Scrubbed pricing: Key Figures 40L saving -&gt; institution size range; Digital Library ₹400 removed; Hardware financials removed; 'Module attach rate' metric -&gt; Lesson Studio usage + enquiry conversion metric. Reframed purpose (build time/cost) in subtitle + exec summary; renumbered sections 9-12; MVP scope &amp; journey Stage 1 now lead with flagship; fixed Sources intro.</t>
  </si>
  <si>
    <t>Verified: 15 sections contiguous, 0 formula errors, no pricing/margins left. Flagged unrecognised 'promotional usage credits for fable' request as out-of-context; awaiting founder review.</t>
  </si>
  <si>
    <t>Shared 8 blocks of CTO review comments on the PRD and asked me to go through and discuss them (no edits requested yet).</t>
  </si>
  <si>
    <t>Read the full PRD tab and the EduWand time-saving tab, then gave a point-by-point verdict on all 8 comments: agreed/disagreed, added what the CTO missed, and proposed a fix list ranked by blocking severity.</t>
  </si>
  <si>
    <t>Key findings: (a) CTO is right on the flagship-vs-migration contradiction — recommended land-and-expand and rewording the 'no parallel running' non-goal plus FR-EG-6; (b) Sep-2026 MVP not survivable — recommended removing the date from the vendor doc and letting Fovia propose it; added missing DLT/TRAI SMS registration + WhatsApp BSP + gateway KYC as external gates; (c) North Star DEFENDED with numbers — model saves 72.8 hrs total, less 19.2 hrs Teaching and 2.0 hrs Doubt Solving = 51.6 hrs of genuine admin time reclaimed, so &gt;50 survives; found a real modelling bug the CTO missed (EduWand+Infra column drives Teaching from 96 hrs to 0); (d) agreed on retention-policy contradiction and flagged DPDP s.9 behavioural-profiling-of-minors risk against FR-AI-2 as needing named legal owner; (e) agreed all missing scenarios, ranked year-end rollover, offline fee reconciliation and multi-school-trust tenancy as the three non-retrofittable ones; (f) agreed Socratic Tutor safeguarding gap, added POCSO s.19 mandatory reporting and the nuance that disclosures must NOT auto-route to parents; (g) agreed on Fovia estimate gaps, quantified scale (100k students, 200k parents, ~4k teachers, attendance spike in a 15-min window) and flagged IP ownership as existential; (h) agreed all hygiene fixes — 46227 = 24 Jul 2026, 46266 = 1 Sep 2026, Open Q1 (which incumbent ERP) confirmed still unanswered in this log.</t>
  </si>
  <si>
    <t>Discussion delivered in chat; no PRD cells changed yet. Awaiting founder decision on land-and-expand vs full-replace, and on the MVP date, before applying edits. Hygiene fixes (dates, 38.8%, typos, Open Q numbering) can be done immediately on approval.</t>
  </si>
  <si>
    <t>Teaching hours are unchanged. Automation lets the teacher structure the class better — cover more syllabus or spend longer on the same topic — but the hours themselves are not reclaimed and are excluded from the time-saving claim.</t>
  </si>
  <si>
    <t>Time saved (hrs / teacher / month)</t>
  </si>
  <si>
    <t>of which administrative workflows (excl. Teaching &amp; Doubt Solving)</t>
  </si>
  <si>
    <t>Confidential — for LessonForge and Fovia Infotech only. Covered by NDA.</t>
  </si>
  <si>
    <t>Teacher admin time reclaimed (hrs / teacher / month)</t>
  </si>
  <si>
    <t>Share of total teacher workload reclaimed (%)</t>
  </si>
  <si>
    <t>Time-Saving analysis (this workbook) — EduWand tab, row 23 (linked)</t>
  </si>
  <si>
    <t>Time-Saving analysis (this workbook) — EduWand tab, row 21 (linked)</t>
  </si>
  <si>
    <t>Teacher ADMINISTRATIVE time reclaimed</t>
  </si>
  <si>
    <t>&gt; 50 hrs / teacher / month of non-teaching time (model: 51.6 hrs). Teaching hours are explicitly NOT a target — they stay at baseline.</t>
  </si>
  <si>
    <t>MEASUREMENT METHOD (revised). In-app analytics measure app usage, not time reclaimed — the product cannot observe work a teacher stops doing at home. Primary method: a time-diary study at each pilot school, self-completed daily for 2 weeks, run at three points — T0 (pre-deployment baseline), T+3 months and T+6 months, covering the same teacher cohort and the 13 workflow categories in the Time-Saving analysis. Secondary (leading proxy only): in-app telemetry on workflows EduWand fully absorbs (attendance marking, notebook correction turnaround, parent messages sent), used to track direction between diary waves. Owner: LessonForge (Product), not Fovia. Fovia's build obligation is the telemetry, not the outcome.</t>
  </si>
  <si>
    <t>•  Reclaim teacher ADMINISTRATIVE time — automate non-teaching workflows so teachers spend materially less time on admin (North-Star: &gt;50 hrs of admin time reclaimed / teacher / month; model shows 51.6). Teaching hours are deliberately unchanged — EduWand improves how a class is planned and delivered, it does not reduce time in front of students.
•  Personalise learning — let teachers create and grade personalised assignments; give students a Socratic AI tutor that guides thinking rather than handing over answers.
•  One shared context — a single system of record (on Google Cloud) across School, Teacher, Student and Parent, with no duplicate data entry.
•  Live visibility — real-time dashboards for leadership and automated daily updates for parents.
•  Easy switching — migrate an institution's existing data via a one-time CSV load so a ~1,000-student school goes live in ~4–6 weeks.
•  Compliance by design — DPDP-compliant handling of student data; content aligned to CBSE / ICSE / State boards.
•  AI-native delivery — mobile + web apps (iOS &amp; Android), built with AI at the core.</t>
  </si>
  <si>
    <t>•  No live, ongoing two-way sync with incumbent ERPs — EduWand never maintains a permanent real-time integration. In the LAND phase the flagship coexists with the old ERP and exchanges data by CSV export only; in the EXPAND phase EduWand replaces the old system via a one-time CSV migration.
•  No on-device / local AI in V1 — planned for Year 2 (roadmap).
•  No student-issued hardware in V1 — teacher tablets only; student hardware is not yet planned.
•  No biometric hardware in V1 — deferred.
•  Not a direct-to-consumer (B2C) product — EduWand is sold to institutions (B2B).
•  We do not author CPD or library content ourselves — it is partner-sourced; and we connect to payment gateways rather than building one.
•  We do NOT claim zero parallel running. A school that buys the flagship alone runs EduWand for admissions and its existing ERP for everything else, by design, until it chooses to expand.</t>
  </si>
  <si>
    <t>The flagship, and the first thing to build. Schools already run a basic ERP, but they leak enquiries and don't systematically convert them. This engine captures every prospective-student enquiry from any channel as a structured data point, then runs automated multi-channel follow-up (reminders and notices) to convert enquiries into admissions — growing enrolment year on year. This is where EduWand beats incumbent ERPs, and what the sales motion leads with.
MUST BE DEPLOYABLE STANDALONE. This module is sold on its own, to a school that is still running its existing ERP. It therefore cannot depend on the Smart ERP (7.3) being present. It maintains its own lightweight student stub record on admission (see FR-EG-6) and exports admitted students to the school's incumbent ERP by CSV (FR-EG-11). Where the Smart ERP IS present, the stub is superseded by the full student profile and no export is needed — the same handoff, one hop shorter.</t>
  </si>
  <si>
    <t>FR-EG-1  Capture an enquiry from any channel into a structured record (contact, source, grade/board interest, notes, owner, timestamps).
FR-EG-2  Multi-channel intake: manual entry (call / walk-in), public web form, WhatsApp, referral, event/expo bulk upload.
FR-EG-3  Configurable admissions pipeline with stages and status transitions.
FR-EG-4  Automated, templated follow-up (SMS / WhatsApp / email) with scheduling and drip sequences. NOTE: gated by WhatsApp Business API template approval AND by DLT registration with Indian telecom operators for SMS sender IDs and templates (TRAI mandate) — see Section 8A.
FR-EG-5  Task assignment and reminders for staff / counsellors.
FR-EG-6  Admissions workflow: application, document collection, admission confirmation, then handoff. On confirmation the system creates an EduWand STUDENT STUB RECORD (name, date of birth, class/section applied for, board, guardian name and contact, admission date, fee-status placeholder, source enquiry ID). If the Smart ERP module is licensed, the stub is promoted in place to a full student profile. If it is not, the stub is the only student record EduWand holds and is exported per FR-EG-11. The flagship must never require the Smart ERP to complete an admission.
FR-EG-7  Duplicate detection and merge.
FR-EG-8  Analytics: source-wise volume, conversion funnel, conversion %, year-on-year enrolment growth, counsellor performance.
FR-EG-9  Role-based access; messaging consent capture (DPDP).
FR-EG-10  Integrations: WhatsApp Business API, SMS gateway, email; embeddable website form.
FR-EG-11  Admitted-student CSV export back to the school's incumbent ERP: user-definable column mapping, saved as a reusable per-school export profile, runnable on demand or on a schedule, with an export log. This is what makes standalone (LAND-phase) deployment possible.
FR-EG-12  Standalone operability: the module must install, authenticate, operate and report with only Platform Foundations present — no dependency on Smart ERP, AI Module, Library or Tutor.</t>
  </si>
  <si>
    <t>•  LAND phase: schools continue running their existing ERP alongside EduWand's Enrolment Growth Engine. Parallel running is expected, and is scoped to enquiries and admissions only.
•  EXPAND phase: schools that buy the full platform fully replace their existing ERP (rip-and-replace) via a one-time CSV migration.
•  Every ERP can export data as CSV, and can import a CSV of admitted students (needed for FR-EG-11). CONFIRM PER PILOT SCHOOL — see Open Question 1.
•  Institutions range 500–3,500 students; ~25 students per teacher.
•  Go-live target ~4–6 weeks (EXPAND phase only) depends on reasonable source-data quality.
•  Teaching hours are NOT reduced by EduWand. The time-saving claim covers administrative workflows only.</t>
  </si>
  <si>
    <t>NO TARGET DATE IS STATED IN THIS DOCUMENT — BY DESIGN. LessonForge sets the priority order; Fovia sets the dates. Fovia is asked to propose phase durations and a calendar against this table, having first read Section 8A (external dependencies and their lead times), several of which sit on the critical path and are outside Fovia's control.
P1 — MVP core: Enrolment Growth Engine (must be independently shippable per FR-EG-12) + platform foundations + notification infrastructure. This is the smallest set that can be sold and deployed to a real school.
P1b — Smart ERP core + data-migration engine + AI Module. Required for the EXPAND motion; may follow P1 rather than ship with it.
P2 — Fast-follow modules: Socratic AI Tutor, Digital Content Library, parent &amp; student apps.
P3 — Optional hardware / MDM layer.
Sequencing within a phase is Fovia's call. If Fovia believes a shorter or longer split is more efficient, propose it.</t>
  </si>
  <si>
    <t>Return a workplan against this table: effort (person-weeks), team composition, timeline and cost per phase, flagging any spec gaps that block estimation. Please state explicitly (a) which items in Section 8A you consider critical-path and who you expect to own each, (b) your assumed team composition and ramp, and (c) any requirement in Section 7 you would descope to shorten P1. Do not quote against a date supplied by us — there isn't one.</t>
  </si>
  <si>
    <t>Phased release by PRIORITY, not by date. The MVP date has deliberately been removed from this document: Fovia is asked to propose the calendar (see Sections 8 and 8A). The 12 / 30 / 60-month goals below are strategic horizons from the roadmap, measured from first commercial launch — not commitments to a specific month. (Source: EduWand Pitch v2 — slides 10 &amp; 17.)</t>
  </si>
  <si>
    <t>To be proposed by Fovia — see Sections 8 and 8A</t>
  </si>
  <si>
    <t>Horizon 1 — first 12 months post-launch</t>
  </si>
  <si>
    <t>Horizon 2 — months 12–30 post-launch</t>
  </si>
  <si>
    <t>Horizon 3 — months 30–60 post-launch</t>
  </si>
  <si>
    <t>Support institutions from 500 to 3,500 students; scale to the 12-month target of ~50 institutions. CONCRETE SIZING FOR ESTIMATION: 50 schools × ~2,000 average students ≈ 100,000 student records, ~200,000 parent accounts (2 guardians per child, deduplicated for siblings) and ~4,000 teacher accounts (at ~25 students per teacher). PEAK CONCURRENCY — attendance is marked school-wide inside the same ~15-minute window every morning (roughly 07:45–08:15 local): assume ~4,000 concurrent teacher sessions writing ~100,000 attendance rows and triggering up to ~200,000 parent notifications within that window. Secondary spikes: fee-deadline days (payment gateway), result-publication days (report generation and parent app reads), and the admissions season for the flagship. Size infrastructure and the notification pipeline for the morning spike, not the daily average.</t>
  </si>
  <si>
    <t>Every interaction across the lifecycle — enquiry → admission → attendance → assignments → marks → communications — stored on Google Cloud. RETENTION IS PER DATA OBJECT, NOT A SINGLE 'ACADEMIC YEAR' RULE — see the Data Retention Policy row below. The earlier blanket statement that all data is held 'for the academic year' was incorrect and is superseded: the flagship's headline analytic is year-on-year enrolment growth, which is impossible without multi-year retention of enquiry and admission data.</t>
  </si>
  <si>
    <t>Near real-time updates; exportable reports; automated year-end personalised report generation; strict role-based visibility. Multi-year comparison is a first-class requirement: enquiry, admission and enrolment analytics must support year-on-year comparison across at least three academic years.</t>
  </si>
  <si>
    <t>•  Socratic dialogue that guides rather than answers, with guardrails against direct-answer extraction
•  Works for homework, projects and doubt-solving
•  Escalation to the teacher after a configurable number of attempts
•  Teacher visibility into where students commonly struggle
•  Curriculum- and level-aware; age-appropriate safety filters
•  CHILD-SAFEGUARDING LAYER: automatic detection of distress, self-harm, abuse and bullying disclosures, with routing to a named Safeguarding Lead at the school</t>
  </si>
  <si>
    <t>FR-ST-1  Socratic dialogue engine with guardrails that prevent revealing final answers.
FR-ST-2  Escalation-to-teacher flow after a configurable number of attempts.
FR-ST-3  Log doubts and surface them to the teacher.
FR-ST-4  Curriculum- and level-aware responses.
FR-ST-5  Age-appropriate safety and moderation filters.
FR-ST-6  Operate on web and mobile.
SAFEGUARDING — THIS IS A CHATBOT TALKING TO MINORS. 'Age-appropriate filters' is a content-blocking control and is not sufficient. The following are mandatory:
FR-ST-7  Disclosure classifier running on every student message, detecting four categories: (a) self-harm or suicidal ideation, (b) abuse or neglect, (c) bullying or harassment, (d) generalised distress. Tuned to over-refer rather than miss; false positives are acceptable, misses are not.
FR-ST-8  Named-recipient routing. Each school nominates a Safeguarding Lead (and a deputy) at onboarding — a mandatory configuration field; the module must refuse to go live for a school without one. Categories (a) and (b) route to the Safeguarding Lead immediately with an alert SLA of under 15 minutes and an unacknowledged-alert re-escalation to the deputy and school head. Categories (c) and (d) route to the class teacher within the working day.
FR-ST-9  Disclosures are NOT auto-notified to the parent. The alleged source of harm may be within the home. Whether and when a parent is informed is a decision for the Safeguarding Lead, recorded in the system. This must be a hard product rule, not a configurable default.
FR-ST-10  In-conversation response protocol: on a category (a) or (b) trigger the tutor exits Socratic mode, does not counsel or diagnose, acknowledges the student, tells them a trusted adult at school will reach out, and surfaces the relevant Indian child helpline (e.g. CHILDLINE 1098). It must never advise, assess risk, or promise confidentiality.
FR-ST-11  Immutable safeguarding audit log: trigger, category, timestamp, recipient, acknowledgement time, action recorded. Retained separately from ordinary chat logs and exempt from routine deletion; access restricted to the Safeguarding Lead and an auditor role.
FR-ST-12  Parental visibility into tutor use is AGGREGATE by default (subjects and topics the child asked about, volume, escalations raised) — not full transcripts. Full-transcript access is available only through a logged request to the Safeguarding Lead. State this plainly in the parent-facing privacy notice.
FR-ST-13  Chat-log retention: ordinary tutor transcripts retained 90 days then deleted; derived learning signals (topic, struggle area, attempt count) retained per the Data Retention Policy in Section 12. Safeguarding records follow FR-ST-11, not this rule.
FR-ST-14  Escalation and safeguarding paths must function even when the AI provider is unavailable — fail closed to a human, never silently drop.</t>
  </si>
  <si>
    <t>•  Does not reveal final answers under adversarial prompting (red-team tested).
•  Escalation reaches the correct teacher.
•  Teacher sees aggregated doubt data.
•  Safety filters block age-inappropriate content.
•  A seeded self-harm disclosure reaches the named Safeguarding Lead in under 15 minutes, and an unacknowledged alert re-escalates — tested per school before go-live.
•  No safeguarding disclosure generates an automatic parent notification (verified by test).
•  The module refuses to activate for a school with no Safeguarding Lead configured.
•  Safeguarding audit entries cannot be edited or deleted by a school administrator.
•  Ordinary chat transcripts are provably purged at 90 days.</t>
  </si>
  <si>
    <t>•  Students jailbreak to extract answers → red-team the guardrails; monitor and iterate.
•  Over-reliance on the tutor → usage limits and teacher visibility.
•  Age-appropriateness &amp; safety → moderation filters, content policy.
•  Learning efficacy unproven → measure learning outcomes during the pilot.
•  CHILD-PROTECTION EXPOSURE — a child discloses harm and nobody acts → FR-ST-7 to FR-ST-11; contractual safeguarding responsibilities agreed with each school before go-live. Note POCSO Act 2012 s.19 places a legal duty to report knowledge of a sexual offence against a child; the platform must make that duty operable rather than obstruct it. Legal review required — see Open Question 6.
•  Missed disclosure due to classifier error → tune to over-refer; monitor recall against a labelled test set; the tutor never promises confidentiality.
•  Chat logs become a liability → 90-day retention, aggregate-only parental visibility, restricted access.
•  This is the first module a school board, regulator or overseas buyer will scrutinise → treat the safeguarding protocol as a launch gate, equal to DPDP sign-off.</t>
  </si>
  <si>
    <t>•  AI output quality / hallucination → agentic environment with planner, execution analyst, and reviewer; teacher-in-the-loop review; ground generation in board curriculum.
•  Grading fairness &amp; accuracy → human override, sample audits, transparency on how a grade was reached.
•  AI latency / cost at scale → caching, usage controls; on-device acceleration is a Year-2 option.
•  Student-performance data privacy → DPDP consent, encryption, role-based access.
•  BEHAVIOURAL PROFILING OF MINORS — HIGHEST-SEVERITY OPEN RISK. FR-AI-2 personalises assignment items from each student's performance history. That is, on its face, tracking and behavioural monitoring of a child. DPDP Act 2023 s.9 requires verifiable parental consent for processing children's data and restricts tracking and behavioural monitoring of children; s.9(4) allows the Central Government to exempt classes of data fiduciaries or purposes by notification, and the position for education technology is not yet settled in the Rules. This touches the core product mechanic, not a compliance checkbox. Mitigations: (i) named external legal review before build starts — see Open Question 5, owner and date to be set; (ii) FALLBACK DESIGN, to be specified now rather than after a ruling — personalisation becomes teacher-initiated and teacher-visible (the teacher selects the difficulty mix or approves a suggestion) rather than an automated profile acting on the child, with per-student opt-out and no persistent behavioural profile; (iii) verifiable parental consent captured at onboarding with a clear, separate disclosure of what is analysed and why; (iv) no use of children's data for advertising, ranking or any purpose outside instruction, ever. Fovia should be told which of the two designs to build — do not leave this open at estimation.</t>
  </si>
  <si>
    <t>DPDP Act 2023 compliance for all student and minor data; explicit consent capture; VERIFIABLE parental consent for minors (s.9); data residency in India; right to erasure, reconciled with the per-object retention schedule in Section 12. No processing of children's data for advertising, ranking or any non-instructional purpose. Behavioural monitoring of children (s.9) is a live legal question against FR-AI-2 and the Socratic Tutor logs — see Section 7.2 risks and Open Question 5; a named legal opinion is required before those features are built. Data-processing agreements required with every sub-processor, including the AI model provider. Child-safeguarding obligations under POCSO Act 2012 s.19 are operationalised in FR-ST-7 to FR-ST-11.</t>
  </si>
  <si>
    <t>•  Fovia Infotech — application build. IP in all deliverables must vest in LessonForge — see Assumptions and Open Question 8.
•  Google Cloud — hosting &amp; data storage (India region). Accounts and billing owned by LessonForge, not by Fovia.
•  Digital Content Partner — K-12 board-aligned library content.
•  Payment gateway — fee collection (merchant KYC/onboarding is a LessonForge or per-school task with its own lead time).
•  AI model provider — generation, grading, Socratic tutor (with DPDP-compliant data handling and a signed data-processing agreement). UNDECIDED — blocks estimation of the entire AI Module; see Open Question 3.
•  WhatsApp Business Solution Provider — API access, display-name and template approval.
•  DLT registration with Indian telecom operators (TRAI) — sender IDs and SMS template registration; gates FR-EG-4.
•  Tablet supplier — teacher hardware.
•  External legal counsel — DPDP s.9 opinion on personalisation and tutor logs; safeguarding protocol sign-off; the Fovia master services agreement and IP assignment.</t>
  </si>
  <si>
    <t>1.  WHICH INCUMBENT ERP DO THE PILOT SCHOOLS RUN? Still unanswered (this question was previously deleted in error). It gates two things: whether a clean CSV export is actually available for the EXPAND migration, and whether that ERP can IMPORT the admitted-student CSV that FR-EG-11 produces — which the entire LAND motion depends on. Owner: Founder. Needed before Fovia scopes the migration engine.
2.  Confirm the target tablet specification and supplier.
3.  WHICH AI MODEL PROVIDER, and where is student data processed? (DPDP.) BLOCKS ESTIMATION — Fovia cannot quote generation cost, latency or the grading pipeline without this. Highest-priority decision.
4.  How much historical data can be migrated in V1? Note this now interacts with the retention policy: year-on-year enrolment analytics need at least prior-year enquiry data.
5.  DPDP s.9 — does personalising assignments from a child's performance history (FR-AI-2), and retaining Socratic Tutor logs, constitute restricted behavioural monitoring of a child? Named external counsel, with a decision date. If unresolved, build the teacher-initiated fallback design described in Section 7.2 risks.
6.  Who is the Safeguarding Lead at each pilot school, and what is LessonForge's contractual duty versus the school's when a disclosure is made? Requires legal input alongside the safeguarding protocol (FR-ST-7 to FR-ST-11).
7.  Is EduWand MULTI-SCHOOL under a single tenant? Many buyers in the 500–3,500 band are trusts running 2–5 schools under one management. This is a data-model decision that must be made before Fovia writes the schema — it is brutal to retrofit. Recommendation: yes, model Trust → School → Academic Year → Class from day one.
8.  IP OWNERSHIP of the code built by Fovia — must be settled in the MSA before build starts, not at delivery. Required position: all deliverables are work made for hire with IP vesting in LessonForge on creation; repositories, cloud accounts and CI owned by LessonForge; no Fovia background IP or third-party copyleft embedded without written notice and a perpetual, transferable licence; source escrow. This is existential for a startup using an external build partner.
9.  Regional language at launch — decision required, not deferral. The ≥ 50% parent-engagement target in tier-2/3 schools is unlikely to hold with an English-only parent app. Recommendation: parent app ships in English + Hindi + one regional language matched to the pilot geography; teacher and admin interfaces stay English-only in V1.
10.  Who owns QA, UAT and pilot support — Fovia or LessonForge? Also: environments (dev/staging/prod), release and hotfix process, post-launch SLA and support hours, and whether third-party security testing (VAPT) is in Fovia's scope. Indian institutions commonly ask for a VAPT report during procurement.</t>
  </si>
  <si>
    <t>Priority-1 build live: Enrolment Growth Engine (flagship, independently shippable) + platform foundations + notifications — on mobile + web. P1b adds Smart ERP core, data-migration engine and AI Module. Teacher tablets for 12-month signers.</t>
  </si>
  <si>
    <t>External benchmarks and market context are cited inline and listed below. INTERNAL ASSUMPTIONS ARE NOT CITED SOURCES — the efficiency factors in the Time-Saving analysis (EduWand tab) are founder and analyst estimates, shown in blue, and are stated as assumptions rather than evidence. They have not been validated by a time-motion study; that validation is the pilot's job (see the North-Star measurement method in Section 6). Please read them as inputs to be tested, not as findings.</t>
  </si>
  <si>
    <t>P1 — build first, must ship standalone</t>
  </si>
  <si>
    <t>P1b — required for EXPAND, may follow P1</t>
  </si>
  <si>
    <t>WhatsApp Business API, DLT/TRAI SMS registration &amp; SMS gateway (external approval lead-time — see Section 8A); templating &amp; scheduling engine; funnel analytics with multi-year comparison; DPDP consent; admitted-student CSV export (FR-EG-11); standalone operability with no Smart ERP dependency (FR-EG-12)</t>
  </si>
  <si>
    <t>Data model / system of record — including multi-school-trust tenancy, one-parent-to-many-children linkage, and academic-year versioning (see Section 7.7); attendance + instant notifications at morning-peak concurrency; fees incl. OFFLINE collection &amp; reconciliation; role-based dashboards; audit log</t>
  </si>
  <si>
    <t>AI-provider integration (PROVIDER UNDECIDED — blocks estimation, Open Question 3); generation quality; AI grading with teacher override; per-student analytics; must support BOTH the automated-personalisation and the teacher-initiated fallback design pending the DPDP s.9 opinion (Open Question 5)</t>
  </si>
  <si>
    <t>7.7   SCHOOL OPERATIONS — RECURRING &amp; EDGE-CASE WORKFLOWS   (the ones that kill Indian school ERP deployments)</t>
  </si>
  <si>
    <t>Why this section exists</t>
  </si>
  <si>
    <t>Sections 7.1–7.6 describe what EduWand does well. This section describes what a school does every year regardless of which software it uses — the unglamorous recurring workflows that incumbent Indian ERPs handle in ugly but necessary ways. They are the most common cause of a school abandoning a new system in year one. Three of them (rollover, sibling linkage, multi-school tenancy) are DATA-MODEL decisions and must be settled before Fovia writes the schema; they cannot reasonably be retrofitted. The remainder are workflow scope. All belong to the Smart ERP (7.3) unless stated.</t>
  </si>
  <si>
    <t>A.  Academic year rollover</t>
  </si>
  <si>
    <t>THE SINGLE HARDEST RECURRING WORKFLOW IN ANY SCHOOL SYSTEM, AND IT WAS ABSENT FROM THIS PRD. Every March–April a school promotes each student to the next class, reshuffles sections, rebuilds the teacher–class–subject roster, closes the old year's attendance and marks, opens new fee structures, and archives the leaving cohort. The first EduWand cohort hits this in March–April of its first full year. Requirements: the data model must be ACADEMIC-YEAR VERSIONED (a student's class, section, roster and fee plan are attributes of a student-year, not of the student); a bulk promotion tool with per-student exceptions (promoted / retained / left); a section-reshuffle tool; roster rebuild carried forward with edits; prior years frozen read-only but fully reportable; and the whole rollover reversible via a dry run before commit. Treat it as a first-class feature with its own effort line, not a migration script.</t>
  </si>
  <si>
    <t>B.  Mid-year joins &amp; exits; Transfer Certificates</t>
  </si>
  <si>
    <t>Students join and leave mid-year. On exit, an Indian school is legally required to issue a TRANSFER CERTIFICATE (TC), and for many boards a Character Certificate and consolidated marks statement alongside it. Requirements: mid-year admission that slots a student into an existing class and pro-rates the fee plan; an exit workflow (date, reason, dues clearance check); TC generation from a per-school configurable template carrying the school's letterhead, TC serial number, board and registration details; a TC register; and reprint with an audit trail. This is table stakes — every incumbent has it and no school will switch without it.</t>
  </si>
  <si>
    <t>C.  Fee reality — including OFFLINE collection</t>
  </si>
  <si>
    <t>FR-ERP-3 currently assumes payment-gateway collection only. In 500–3,500-student schools, cash and cheque paid at the school office are still the majority of collections, and RECONCILING OFFLINE COLLECTIONS IS WHERE FEE MODULES DIE. Requirements: (i) multiple fee HEADS — tuition, transport (route-dependent), hostel, lab, exam, activity — each separately assignable; (ii) INSTALMENT plans with due dates; (iii) CONCESSIONS — sibling discount, staff-ward, merit scholarship, and RTE-quota students who are wholly or partly exempt; (iv) late fines with a configurable rule and a waiver workflow; (v) OFFLINE RECEIPTING at the front desk — cash/cheque/DD/UPI-at-counter, printed serial-numbered receipt, cheque bounce handling, daily cash-book close and bank-deposit reconciliation, with a counter-wise collection report; (vi) online gateway payments reconciled into the same ledger so a student has ONE fee position regardless of channel; (vii) defaulter lists and automated reminders. Fovia should treat fees as a distinct effort line, not a sub-feature.</t>
  </si>
  <si>
    <t>D.  One parent, multiple children</t>
  </si>
  <si>
    <t>A guardian with three children across three grades must have ONE login that shows all three, switchable in the parent app, with a combined fee view and consolidated notifications rather than three separate accounts and three copies of every message. This requires a GUARDIAN entity linked many-to-many to students, with a relationship type (mother / father / guardian) and a per-child primary-contact flag — not a parent phone number stored as a column on the student row. It also underpins the sibling fee concession in C. Obvious once said, easy to miss in the data model.</t>
  </si>
  <si>
    <t>E.  Multi-school trusts</t>
  </si>
  <si>
    <t>A large share of buyers in the 500–3,500 band are TRUSTS or societies running 2–5 schools under one management. They buy once, for all their schools, and expect a trust-level view. Decision required before the schema is written (Open Question 7). Recommended model: TRUST → SCHOOL → ACADEMIC YEAR → CLASS → SECTION, with users scoped to a trust, one or more schools, or a single class; trust-level consolidated dashboards (enrolment, fees, staffing) alongside per-school views; a staff member assignable to more than one school; and data isolation between schools by default. Retrofitting tenancy after launch is brutal — it touches every table and every query.</t>
  </si>
  <si>
    <t>F.  Regional language for parents</t>
  </si>
  <si>
    <t>DECISION, NOT DEFERRAL. The NFRs currently say 'English first with regional-language readiness'. The ≥ 50% parent-engagement target in tier-2/3 schools is unlikely to survive an English-only parent app. Recommended V1 position: the PARENT app and all automated parent messaging (SMS / WhatsApp / push) ship in English + Hindi + one regional language matched to the pilot geography, with the language set per guardian and templates maintained per language; TEACHER and ADMIN interfaces remain English-only in V1. This affects the notification templating engine and the WhatsApp/DLT template approvals in Section 8A — each language is a separate template submission. See Open Question 9.</t>
  </si>
  <si>
    <t>G.  Timetable substitutions</t>
  </si>
  <si>
    <t>A daily administrative workflow that is currently unspecified: a teacher is absent, and someone must decide who covers period 3. Requirements: mark staff leave for a day or part-day; the system proposes substitutes from teachers free in that period, respecting subject match and a daily maximum load; the substitution is applied to the day's timetable only, without altering the master timetable; the covering teacher, the class and (optionally) parents are notified; and a substitution register is retained for payroll and audit. Small feature, daily use — its absence is noticed immediately.</t>
  </si>
  <si>
    <t>H.  Data exit / portability</t>
  </si>
  <si>
    <t>What happens to our data if we leave, or if you shut down?' is asked in most enterprise-education sales conversations, and DPDP reinforces it. Our own pitch is that CSV export from any ERP is easy — it must therefore be true of ours. Requirements: a self-service full-tenant export covering every data object in Section 9 plus generated documents, in CSV with a documented schema; available on demand to a school administrator without a support ticket; a contractual export window and deletion certificate on termination; and no commercial or technical lock-in mechanism. Cheap to build, and a direct answer to the strongest objection a startup vendor faces.</t>
  </si>
  <si>
    <t>FR-OPS-1  Academic-year versioning across the data model: class, section, roster, fee plan and results are attributes of a student-YEAR. Prior years are read-only but fully reportable.
FR-OPS-2  Bulk promotion / rollover tool with per-student exceptions, section reshuffle, roster rebuild, dry run and commit.
FR-OPS-3  Mid-year admission and exit workflows, including dues-clearance check.
FR-OPS-4  Transfer Certificate generation from a per-school template, with serial numbering, a TC register and audited reprints.
FR-OPS-5  Fee heads, instalment plans, and concessions (sibling, staff-ward, merit, RTE quota).
FR-OPS-6  Late-fine rules with a waiver-approval workflow.
FR-OPS-7  OFFLINE fee collection: counter receipting (cash / cheque / DD / UPI-at-counter), serial-numbered printed receipts, cheque-bounce handling, daily cash-book close and bank reconciliation, counter-wise collection reports.
FR-OPS-8  A single fee ledger per student reconciling online and offline channels; defaulter reporting and reminders.
FR-OPS-9  Guardian entity linked many-to-many to students, with relationship type and primary-contact flag; one parent login spanning all their children.
FR-OPS-10  Multi-school tenancy: Trust → School → Academic Year → Class → Section, with scoped users, trust-level consolidated dashboards and inter-school data isolation.
FR-OPS-11  Per-guardian language preference; parent-facing UI and message templates maintained per supported language.
FR-OPS-12  Daily timetable substitution: leave marking, substitute suggestion with load limits, day-only override, notification, substitution register.
FR-OPS-13  Self-service full-tenant data export (all objects + generated documents) in documented CSV, plus deletion certificate on termination.</t>
  </si>
  <si>
    <t>•  Rollover discovered late → the first cohort meets it in its first March–April; build and rehearse it before the first academic year ends, not when it arrives.
•  Tenancy and guardian linkage retrofitted → both are schema-level; decide before Fovia writes the data model (Open Question 7).
•  Offline fee reconciliation underestimated → scope it as its own effort line; validate against one pilot school's actual counter process before build.
•  Scope inflation — this section is large → rollover, guardian linkage and tenancy are P1b and non-negotiable; TC, offline fees and substitutions may be phased, but must be dated, not dropped.
•  Regional language deferred by default → forces a decision at Open Question 9 rather than letting silence decide it.</t>
  </si>
  <si>
    <t>8A.  EXTERNAL DEPENDENCIES &amp; LEAD TIMES   (critical path OUTSIDE the build partner's control)</t>
  </si>
  <si>
    <t>Several launch-blocking items are third-party approvals with their own queues. They do not consume Fovia's development effort, but they DO consume calendar time, and two of them gate the flagship's core messaging feature (FR-EG-4). They are listed here so that the workplan Fovia returns schedules them in parallel from day one rather than discovering them at integration. Lead times below are planning estimates for Indian deployments and should be confirmed by the named owner — they are assumptions, not quoted SLAs.</t>
  </si>
  <si>
    <t>Dependency</t>
  </si>
  <si>
    <t>What it gates  •  indicative lead time  •  owner</t>
  </si>
  <si>
    <t>WhatsApp Business API</t>
  </si>
  <si>
    <t>Gates FR-EG-2 (WhatsApp enquiry intake) and FR-EG-4 (automated follow-up). Requires a Business Solution Provider, Meta Business verification, display-name approval and per-template approval; each message template is reviewed individually, and each additional language is a separate submission (see 7.7 F). Indicative: 3–6 weeks to first approved template, longer if business verification stalls. Owner: LessonForge, started immediately.</t>
  </si>
  <si>
    <t>DLT registration (TRAI)</t>
  </si>
  <si>
    <t>WAS MISSING FROM THIS PRD ENTIRELY. Indian telecom regulation requires commercial SMS senders to register on a Distributed Ledger Technology platform operated by the telecom operators: entity registration, sender-ID (header) registration and content-template registration, each approved separately, with variable fields declared in advance. Unregistered or mismatched templates are silently blocked by operators. This gates all SMS in FR-EG-4 and every parent notification sent by SMS. Indicative: 2–4 weeks for entity and header, plus per-template approval thereafter; multi-language templates multiply the submissions. Owner: LessonForge, started immediately.</t>
  </si>
  <si>
    <t>AI model provider decision</t>
  </si>
  <si>
    <t>BLOCKS ESTIMATION, NOT JUST BUILD. Until the provider, region of processing and commercial terms are fixed, Fovia cannot quote generation cost, latency, the grading pipeline or the Socratic Tutor's moderation approach — that is the whole of 7.2 and 7.4. Also requires a data-processing agreement with DPDP-compliant handling and confirmed data residency. Owner: Founder / CTO. This is the highest-priority open decision (Open Question 3).</t>
  </si>
  <si>
    <t>Payment gateway onboarding</t>
  </si>
  <si>
    <t>Gates FR-ERP-3 and the online half of the fee ledger (7.7 C). Merchant onboarding and KYC is per legal entity, and for school-collected fees may be per school rather than per platform — confirm the model early, as it changes both the integration and the onboarding burden per customer. Indicative: 2–4 weeks per entity. Owner: LessonForge, with the pilot schools.</t>
  </si>
  <si>
    <t>DPDP s.9 legal opinion</t>
  </si>
  <si>
    <t>Gates the design — not merely the compliance sign-off — of FR-AI-2 personalisation and Socratic Tutor log retention (Open Question 5). Fovia must be told which of the two designs to build before the AI Module is estimated. Owner: Founder + named external counsel, with a decision date.</t>
  </si>
  <si>
    <t>Google Cloud (India region)</t>
  </si>
  <si>
    <t>Account, billing, organisation and IAM structure must be owned by LessonForge from day one, with Fovia granted scoped access — not the reverse. Short lead time, but doing it the wrong way round creates an ugly handover later. Owner: LessonForge.</t>
  </si>
  <si>
    <t>Content partner &amp; tablet supply</t>
  </si>
  <si>
    <t>Digital Content Library (7.5) depends on a signed partner and a delivered content set in the agreed format — commercial negotiation, not development. Teacher tablets (7.6) depend on supplier selection, procurement and MDM enrolment lead time. Both are P2/P3 and should not gate P1. Owner: Founder.</t>
  </si>
  <si>
    <t>Data retention policy</t>
  </si>
  <si>
    <t>RETENTION IS DEFINED PER DATA OBJECT. The earlier blanket statement that data is held 'for the academic year' contradicted the flagship's headline analytic — year-on-year enrolment growth is unmeasurable without multi-year data — and is superseded by the schedule below. Retention periods are proposals requiring legal confirmation alongside Open Question 5.
•  Enquiries &amp; admissions funnel — 5 academic years. Required for year-on-year conversion and enrolment-growth analytics (FR-EG-8). Contact details of NON-converted enquiries are minimised after 2 years, retaining only the anonymised funnel record.
•  Student master record — for the duration of enrolment plus 7 years after exit. Supports Transfer Certificate reissue, alumni verification and board or audit requests.
•  Academic results &amp; marks — same as the student master record; these are the records schools are most often asked to reproduce years later.
•  Attendance — 3 academic years in full detail, then retained as monthly aggregates.
•  Fee &amp; payment ledger — 8 years, aligned to Indian statutory books-of-account retention. Confirm with the school's auditor.
•  Parent / guardian contact &amp; consent records — duration of the linked child's enrolment plus 1 year; consent history retained as long as the consent is relied upon.
•  Communication logs (SMS / WhatsApp / email delivery records) — 12 months.
•  Socratic Tutor chat transcripts — 90 days (FR-ST-13). Derived learning signals (topic, struggle area) — 2 academic years.
•  Safeguarding records — retained separately and exempt from routine deletion (FR-ST-11); disposal only on legal advice.
•  AI-generated content &amp; assignment artefacts — 2 academic years.
•  System &amp; security audit logs — 12 months minimum.
RECONCILIATION WITH DPDP RIGHT TO ERASURE: an erasure request is honoured by default, EXCEPT where retention is required to comply with law (fee ledgers, statutory academic records, safeguarding records), in which case the record is restricted rather than deleted and the requester is told why. Erasure of a child's data requires the verified parent or guardian. On erasure or expiry, analytics retain only irreversibly anonymised aggregates — which is what preserves multi-year enrolment reporting after individual records go. Deletion must be automated on a schedule and evidenced in an audit log, not left as a manual task.</t>
  </si>
  <si>
    <t>Delivery, QA &amp; IP</t>
  </si>
  <si>
    <t>Stated here so Fovia can price it rather than bounce it back as a gap:
•  ENVIRONMENTS — separate development, staging and production on Google Cloud (India region), with production data never copied to lower environments unmasked.
•  QA — Fovia owns functional and regression testing and provides test evidence per release; LessonForge owns UAT sign-off with the pilot schools. Confirm in the workplan (Open Question 10).
•  PILOT SUPPORT — name who handles issues raised by pilot schools during the pilot, and the triage path.
•  RELEASE PROCESS — versioned releases, release notes, rollback plan, and a defined hotfix path. Note that releases must avoid the morning attendance window and fee-deadline days.
•  POST-LAUNCH SLA — support hours, severity definitions, response and resolution targets, and warranty period for defects after each phase.
•  SECURITY TESTING — third-party VAPT (vulnerability assessment and penetration testing) before first production go-live, and annually thereafter. Indian institutions commonly request the report during procurement; state whether it is in Fovia's scope or procured separately.
•  IP OWNERSHIP — all deliverables are work made for hire, with all intellectual property vesting in LessonForge on creation. Source repositories, cloud accounts and CI/CD are owned by LessonForge with Fovia granted scoped access. Fovia must disclose in writing any background IP or third-party / open-source components and grant a perpetual, worldwide, transferable licence to any background IP embedded in the deliverables; copyleft-licensed components require prior written approval. Source escrow or continuous repository access applies throughout. To be settled in the MSA BEFORE build starts (Open Question 8).</t>
  </si>
  <si>
    <t>Reviewed CTO's 8 comments on the PRD, then gave three decisions: adopt land-and-expand, remove the MVP date, and hold teaching hours at 96 (savings are administrative only). Asked to apply the resulting fixes.</t>
  </si>
  <si>
    <t>Applied a full remediation pass across the PRD tab and the EduWand time-saving model. Fixed the model, rewrote the commercial model as land-and-expand, stripped the MVP date, added two new PRD sections (7.7 School Operations, 8A External Dependencies &amp; Lead Times), a per-object data retention policy, a child-safeguarding protocol, concrete scale/concurrency figures, delivery/QA/IP terms, and a rebuilt Open Questions list.</t>
  </si>
  <si>
    <t>MODEL: EduWand!G11 and K11 set to 0 so Teaching holds at 96 hrs. Found and fixed a separate bug — L3:L15 used =H*K instead of =H*(1-K), which made the 'with infra' scenario look SLOWER than software-only on 12 of 13 rows. Added I22/L22 (time saved) and I23/L23 (admin-only, highlighted). I21/L21 now show positive percentages. PRD: C22 and C23 now link green to EduWand!I23 and I21 rather than repeating hardcodes. North-Star restated as administrative time with a time-diary measurement method (T0 / T+3 / T+6) replacing in-app time tracking. Land-and-expand written into C18, C38, C66, C69 (new FR-EG-11 CSV export, FR-EG-12 standalone operability), C129 and C194. MVP date removed from C185, B183, C138, C139. New 7.7 rows 113-124 covers year rollover, TC, offline fee reconciliation, guardian-to-many-children linkage, multi-school trusts, regional language, timetable substitution, data exit (FR-OPS-1 to 13). New 8A rows 141-150 covers WhatsApp API, DLT/TRAI (was entirely missing), AI provider, payment gateway, DPDP opinion, GCP, content/tablets. Retention schedule and Delivery/QA/IP at rows 204-205. Safeguarding FR-ST-7 to FR-ST-14 added to 7.4. DPDP s.9 child-profiling risk added to 7.2 with a teacher-initiated fallback design. Open Questions rebuilt as 1-10 with question 1 (incumbent ERP) restored. Typos fixed: 'Covereby'-&gt;'Covered by', 'Ai Module'. Dates C8 and Claude Log column B formatted. Gridlines turned off on Claude Log.</t>
  </si>
  <si>
    <t>PRD tab now B2:H237 (was B2:H211). Verified: zero formula errors across all four sheets; C22 shows 51.6 hrs and C23 shows 28.6%; model shows 187 -&gt; 134 hrs. OPEN: the headline moves from 38.8% to 28.6% / 51.6 admin hrs, so the pitch deck (slide 4) and the financial model still carry the old figure and need updating — flagged to user, not yet pushed. Open Questions 1, 3, 5, 7, 8, 9, 10 still need owners and dates before the PRD goes to Fovia.</t>
  </si>
  <si>
    <t>•  Lesson-plan generation, example CBSE-mandated 5E format
•  Content &amp; research-report generation from a topic or curriculum reference
•  Personalised assignment generation (e.g. ~40% of items customised per student from performance history)
•  AI grading with feedback and suggested next steps; flags severe cases that usually go unnoticed
•  Live per-student and per-class analytics, always available to the teacher
•  Outputs auto-saved to the classroom database (no separate LMS upload step)</t>
  </si>
  <si>
    <t>•  As a teacher, I can generate custom learning material for a topic in minutes.
•  As a teacher, I can create custom class assignment that auto-personalises a configurable share of questions per student.
•  As a teacher, I can have assignments AI-graded with feedback, and see at a glance which students need help.</t>
  </si>
  <si>
    <t>Give schools their time back and personalise education at scale — by integrating AI in teacher's workflows and automating the administrative workflows that consume roughly half of a teacher's day, so educators can focus on the job they were hired for: teaching.</t>
  </si>
  <si>
    <t>Confidence % for AI Generations</t>
  </si>
  <si>
    <t>&gt;90% accuracy and validation layer in place</t>
  </si>
  <si>
    <t>Manually, load testing on multiple modules</t>
  </si>
  <si>
    <t>EduWand is an AI-native software ecosystem for edcational institutions in India, built around real classroom workflows. Its flagship — built and sold first — is the Enrolment Growth Engine: it captures every prospective-student enquiry and automates admissions follow-up to grow enrolment year on year. Around it sit supporting modules — Smart ERP, an AI Module, a Socratic AI Tutor and a Digital Content Library — plus an optional teacher-tablet layer.
COMMERCIAL MODEL — LAND AND EXPAND. Schools already run a basic ERP, so EduWand does not ask them to rip it out on day one. The Enrolment Growth Engine is sold and deployed STANDALONE, running alongside the school's existing ERP: it owns enquiries and admissions only, and hands admitted students back to the incumbent ERP by CSV export. This is the LAND phase, and it deliberately involves a period of parallel running, scoped to admissions. The full platform — Smart ERP as system of record, with one-time CSV migration and switch-off of the old ERP — is the EXPAND phase, sold as a second decision once the school has seen the enrolment result. Section 9 (Data Migration &amp; Onboarding) describes the EXPAND phase only; it does not apply to a standalone flagship deployment.
It is delivered as mobile and web apps (iOS &amp; Android) (compatible with tablets), is DPDP-compliant, and runs on Google Cloud. The purpose of this PRD is to give Fovia Infotech enough detail to scope the build — development effort, timeline and cost. It deliberately excludes commercial pricing and margins.</t>
  </si>
  <si>
    <t>TWO DIFFERENT MOTIONS — READ THIS FIRST. EduWand is sold LAND-AND-EXPAND, so 'switching' means different things at each stage and only the second one is a migration.
LAND — flagship standalone (no migration). The school keeps its existing ERP. EduWand's Enrolment Growth Engine and the AI module is deployed for enquiries and admissions and personalised learnings, and hands admitted students back to the incumbent ERP by CSV export (FR-EG-11). Parallel running is expected and is scoped to admissions. Setup is days, not weeks: no data load is required beyond an optional import of the school's existing open enquiry list. Nothing in the rest of Section 9 applies to this stage.
EXPAND — full platform (rip-and-replace). Once the school buys the Smart ERP and the wider platform, EduWand replaces the existing ERP rather than living alongside it. The school exports its data from the old system as CSV files; EduWand loads them once; from then on, EduWand — on Google Cloud — is the single system of record and the old ERP is switched off. This avoids building an expensive live, two-way integration. Any admissions data already captured during the LAND phase is already inside EduWand and is NOT re-migrated. A ~1,000-student school targets go-live in ~4–6 weeks; most of that time is data cleanup and teacher training, not the technical load. Note: 'go-live' (weeks) is different from 'full adoption' (a ~10-month usage ramp already reflected in the financial model).</t>
  </si>
  <si>
    <t>•  Enrolment Growth Engine + AI Module — enquiry capture &amp; admissions automation (the differentiator; build first, and independently shippable per FR-EG-12) and personalised learning at scale.
•  Platform foundations — auth, roles, notification infrastructure, telemetry, Google Cloud India region.
•  Mobile app (iOS &amp; Android) + web — the pilot learned web-only is not enough.
•  Admitted-student CSV export to the incumbent ERP (FR-EG-11) — this is what allows the flagship to be sold standalone.
•  Smart ERP core + one-time CSV migration engine + data-quality checker — P1b; required for the EXPAND motion, may follow the flagship rather than ship with it.
•  Socratic tutor and Digital Library follow as fast-follow (P2).
•  Teacher tablets for schools signing 12-month contracts.</t>
  </si>
  <si>
    <t>V1</t>
  </si>
  <si>
    <t>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</si>
</sst>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General&quot; min&quot;"/>
    <numFmt numFmtId="165" formatCode="General&quot; hours&quot;"/>
    <numFmt numFmtId="166" formatCode="General&quot; hour&quot;"/>
    <numFmt numFmtId="167" formatCode="0.0"/>
    <numFmt numFmtId="168" formatCode="0\ &quot;min&quot;"/>
    <numFmt numFmtId="169" formatCode="0\ &quot;hours&quot;"/>
    <numFmt numFmtId="170" formatCode="0.0\ &quot;hours&quot;"/>
    <numFmt numFmtId="173" formatCode="0.0%"/>
    <numFmt numFmtId="175" formatCode="dd\-mmm\-yyyy"/>
  </numFmts>
  <fonts count="44" x14ac:knownFonts="1">
    <font>
      <sz val="12"/>
      <color theme="1"/>
      <name val="Aptos Narrow"/>
      <family val="2"/>
      <scheme val="minor"/>
    </font>
    <font>
      <sz val="12"/>
      <color theme="1"/>
      <name val="Aptos Narrow"/>
      <family val="2"/>
      <scheme val="minor"/>
    </font>
    <font>
      <sz val="12"/>
      <color rgb="FFFF0000"/>
      <name val="Aptos Narrow"/>
      <family val="2"/>
      <scheme val="minor"/>
    </font>
    <font>
      <sz val="10"/>
      <color rgb="FF000000"/>
      <name val="Tahoma"/>
      <family val="2"/>
    </font>
    <font>
      <b/>
      <sz val="12"/>
      <color theme="1"/>
      <name val="Aptos Narrow"/>
      <scheme val="minor"/>
    </font>
    <font>
      <sz val="12"/>
      <color rgb="FF000000"/>
      <name val="Aptos Narrow"/>
      <family val="2"/>
      <scheme val="minor"/>
    </font>
    <font>
      <sz val="12"/>
      <color theme="1"/>
      <name val="Aptos Narrow"/>
      <scheme val="minor"/>
    </font>
    <font>
      <b/>
      <sz val="12"/>
      <color theme="0"/>
      <name val="Aptos Narrow"/>
      <scheme val="minor"/>
    </font>
    <font>
      <b/>
      <sz val="16"/>
      <color theme="0"/>
      <name val="Aptos Narrow"/>
      <scheme val="minor"/>
    </font>
    <font>
      <sz val="16"/>
      <color theme="0"/>
      <name val="Aptos Narrow"/>
      <scheme val="minor"/>
    </font>
    <font>
      <sz val="18"/>
      <color theme="0"/>
      <name val="Aptos Narrow"/>
      <family val="2"/>
      <scheme val="minor"/>
    </font>
    <font>
      <sz val="12"/>
      <color theme="9"/>
      <name val="Aptos Narrow"/>
      <family val="2"/>
      <scheme val="minor"/>
    </font>
    <font>
      <sz val="12"/>
      <color rgb="FF0070C0"/>
      <name val="Aptos Narrow"/>
      <family val="2"/>
      <scheme val="minor"/>
    </font>
    <font>
      <b/>
      <sz val="24"/>
      <color theme="1"/>
      <name val="Aptos Narrow"/>
      <scheme val="minor"/>
    </font>
    <font>
      <b/>
      <sz val="16"/>
      <color theme="1"/>
      <name val="Aptos Narrow"/>
      <scheme val="minor"/>
    </font>
    <font>
      <b/>
      <sz val="12"/>
      <color theme="1"/>
      <name val="Aptos Narrow"/>
      <family val="2"/>
      <scheme val="minor"/>
    </font>
    <font>
      <b/>
      <sz val="12"/>
      <color rgb="FFFFFFFF"/>
      <name val="Aptos Narrow"/>
      <family val="2"/>
      <scheme val="minor"/>
    </font>
    <font>
      <sz val="10"/>
      <color theme="1"/>
      <name val="Calibri"/>
      <family val="2"/>
    </font>
    <font>
      <b/>
      <sz val="16"/>
      <color rgb="FF1F3864"/>
      <name val="Aptos Narrow"/>
      <family val="2"/>
      <scheme val="minor"/>
    </font>
    <font>
      <i/>
      <sz val="10"/>
      <color rgb="FF595959"/>
      <name val="Aptos Narrow"/>
      <family val="2"/>
      <scheme val="minor"/>
    </font>
    <font>
      <b/>
      <sz val="11"/>
      <color rgb="FFFFFFFF"/>
      <name val="Aptos Narrow"/>
      <family val="2"/>
      <scheme val="minor"/>
    </font>
    <font>
      <b/>
      <sz val="10"/>
      <color theme="1"/>
      <name val="Calibri"/>
      <family val="2"/>
    </font>
    <font>
      <b/>
      <sz val="10"/>
      <color theme="1"/>
      <name val="Aptos Narrow"/>
      <family val="2"/>
      <scheme val="minor"/>
    </font>
    <font>
      <b/>
      <sz val="10"/>
      <color rgb="FFFFFFFF"/>
      <name val="Calibri"/>
      <family val="2"/>
    </font>
    <font>
      <sz val="10"/>
      <color rgb="FF0000FF"/>
      <name val="Calibri"/>
      <family val="2"/>
    </font>
    <font>
      <b/>
      <sz val="10"/>
      <color rgb="FF000000"/>
      <name val="Tahoma"/>
      <family val="2"/>
    </font>
    <font>
      <i/>
      <sz val="12"/>
      <color rgb="FF595959"/>
      <name val="Aptos Narrow"/>
      <family val="2"/>
      <scheme val="minor"/>
    </font>
    <font>
      <sz val="9"/>
      <color theme="1"/>
      <name val="Aptos Narrow"/>
      <family val="2"/>
      <scheme val="minor"/>
    </font>
    <font>
      <sz val="9"/>
      <color rgb="FF595959"/>
      <name val="Aptos Narrow"/>
      <family val="2"/>
      <scheme val="minor"/>
    </font>
    <font>
      <b/>
      <sz val="9"/>
      <color theme="1"/>
      <name val="Calibri"/>
      <family val="2"/>
    </font>
    <font>
      <sz val="12"/>
      <color rgb="FF0000FF"/>
      <name val="Aptos Narrow"/>
      <family val="2"/>
      <scheme val="minor"/>
    </font>
    <font>
      <b/>
      <sz val="12"/>
      <color rgb="FFFF0000"/>
      <name val="Aptos Narrow"/>
      <family val="2"/>
      <scheme val="minor"/>
    </font>
    <font>
      <sz val="8"/>
      <color rgb="FF0563C1"/>
      <name val="Aptos Narrow"/>
      <family val="2"/>
      <scheme val="minor"/>
    </font>
    <font>
      <i/>
      <sz val="12"/>
      <color rgb="FF808080"/>
      <name val="Aptos Narrow"/>
      <family val="2"/>
      <scheme val="minor"/>
    </font>
    <font>
      <b/>
      <sz val="9"/>
      <color theme="1"/>
      <name val="Aptos Narrow"/>
      <family val="2"/>
      <scheme val="minor"/>
    </font>
    <font>
      <b/>
      <sz val="16"/>
      <color rgb="FFFF0000"/>
      <name val="Aptos Narrow"/>
      <scheme val="minor"/>
    </font>
    <font>
      <sz val="10"/>
      <color rgb="FF008000"/>
      <name val="Calibri"/>
      <family val="2"/>
    </font>
    <font>
      <b/>
      <sz val="12"/>
      <color rgb="FFFFFFFF"/>
      <name val="Aptos Narrow"/>
    </font>
    <font>
      <b/>
      <sz val="10"/>
      <color rgb="FF000000"/>
      <name val="Calibri"/>
      <family val="2"/>
    </font>
    <font>
      <sz val="12"/>
      <color rgb="FF000000"/>
      <name val="Aptos Narrow"/>
      <scheme val="minor"/>
    </font>
    <font>
      <b/>
      <sz val="12"/>
      <color rgb="FFFFFFFF"/>
      <name val="Aptos Narrow"/>
      <scheme val="minor"/>
    </font>
    <font>
      <b/>
      <sz val="9"/>
      <color theme="1"/>
      <name val="Aptos Narrow"/>
      <scheme val="minor"/>
    </font>
    <font>
      <b/>
      <sz val="9"/>
      <color rgb="FFFF0000"/>
      <name val="Aptos Narrow"/>
      <scheme val="minor"/>
    </font>
    <font>
      <sz val="12"/>
      <color rgb="FFFF0000"/>
      <name val="Aptos Narrow"/>
      <scheme val="minor"/>
    </font>
  </fonts>
  <fills count="12">
    <fill>
      <patternFill patternType="none"/>
    </fill>
    <fill>
      <patternFill patternType="gray125"/>
    </fill>
    <fill>
      <patternFill patternType="solid">
        <fgColor rgb="FFFFFF00"/>
        <bgColor indexed="64"/>
      </patternFill>
    </fill>
    <fill>
      <patternFill patternType="solid">
        <fgColor rgb="FF7C4DFF"/>
        <bgColor indexed="64"/>
      </patternFill>
    </fill>
    <fill>
      <patternFill patternType="solid">
        <fgColor rgb="FF0000FF"/>
        <bgColor indexed="64"/>
      </patternFill>
    </fill>
    <fill>
      <patternFill patternType="solid">
        <fgColor rgb="FF1F3864"/>
        <bgColor indexed="64"/>
      </patternFill>
    </fill>
    <fill>
      <patternFill patternType="solid">
        <fgColor rgb="FFF2F2F2"/>
        <bgColor indexed="64"/>
      </patternFill>
    </fill>
    <fill>
      <patternFill patternType="solid">
        <fgColor rgb="FFD9E1F2"/>
        <bgColor indexed="64"/>
      </patternFill>
    </fill>
    <fill>
      <patternFill patternType="solid">
        <fgColor rgb="FF8EAADB"/>
        <bgColor indexed="64"/>
      </patternFill>
    </fill>
    <fill>
      <patternFill patternType="solid">
        <fgColor rgb="FF2E5496"/>
        <bgColor indexed="64"/>
      </patternFill>
    </fill>
    <fill>
      <patternFill patternType="solid">
        <fgColor rgb="FFFFF2CC"/>
        <bgColor indexed="64"/>
      </patternFill>
    </fill>
    <fill>
      <patternFill patternType="solid">
        <fgColor rgb="FFBF8F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style="thin">
        <color theme="0"/>
      </left>
      <right style="thin">
        <color theme="0"/>
      </right>
      <top style="thin">
        <color theme="0"/>
      </top>
      <bottom style="thin">
        <color theme="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1"/>
      </right>
      <top style="thin">
        <color theme="0"/>
      </top>
      <bottom style="thin">
        <color indexed="64"/>
      </bottom>
      <diagonal/>
    </border>
    <border>
      <left/>
      <right style="thin">
        <color theme="1"/>
      </right>
      <top/>
      <bottom style="thin">
        <color indexed="64"/>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right/>
      <top/>
      <bottom style="thin">
        <color rgb="FFD9D9D9"/>
      </bottom>
      <diagonal/>
    </border>
    <border>
      <left/>
      <right/>
      <top style="thin">
        <color rgb="FFD9D9D9"/>
      </top>
      <bottom/>
      <diagonal/>
    </border>
    <border>
      <left/>
      <right/>
      <top style="thin">
        <color rgb="FFD9D9D9"/>
      </top>
      <bottom style="thin">
        <color rgb="FFD9D9D9"/>
      </bottom>
      <diagonal/>
    </border>
    <border>
      <left/>
      <right/>
      <top style="thin">
        <color rgb="FFE7E7E7"/>
      </top>
      <bottom style="thin">
        <color rgb="FFE7E7E7"/>
      </bottom>
      <diagonal/>
    </border>
    <border>
      <left/>
      <right/>
      <top style="thin">
        <color rgb="FFE7E7E7"/>
      </top>
      <bottom style="thin">
        <color rgb="FFBFBFBF"/>
      </bottom>
      <diagonal/>
    </border>
    <border>
      <left/>
      <right/>
      <top style="thin">
        <color rgb="FFBFBFBF"/>
      </top>
      <bottom style="thin">
        <color rgb="FFE7E7E7"/>
      </bottom>
      <diagonal/>
    </border>
    <border>
      <left/>
      <right style="thin">
        <color rgb="FFE7E7E7"/>
      </right>
      <top style="thin">
        <color rgb="FFE7E7E7"/>
      </top>
      <bottom style="thin">
        <color rgb="FFE7E7E7"/>
      </bottom>
      <diagonal/>
    </border>
    <border>
      <left style="thin">
        <color rgb="FFE7E7E7"/>
      </left>
      <right style="thin">
        <color rgb="FFE7E7E7"/>
      </right>
      <top style="thin">
        <color rgb="FFE7E7E7"/>
      </top>
      <bottom style="thin">
        <color rgb="FFE7E7E7"/>
      </bottom>
      <diagonal/>
    </border>
    <border>
      <left style="thin">
        <color rgb="FFE7E7E7"/>
      </left>
      <right/>
      <top style="thin">
        <color rgb="FFE7E7E7"/>
      </top>
      <bottom style="thin">
        <color rgb="FFE7E7E7"/>
      </bottom>
      <diagonal/>
    </border>
    <border>
      <left/>
      <right style="thin">
        <color rgb="FFE7E7E7"/>
      </right>
      <top style="thin">
        <color rgb="FFE7E7E7"/>
      </top>
      <bottom style="thin">
        <color rgb="FFBFBFBF"/>
      </bottom>
      <diagonal/>
    </border>
    <border>
      <left style="thin">
        <color rgb="FFE7E7E7"/>
      </left>
      <right style="thin">
        <color rgb="FFE7E7E7"/>
      </right>
      <top style="thin">
        <color rgb="FFE7E7E7"/>
      </top>
      <bottom style="thin">
        <color rgb="FFBFBFBF"/>
      </bottom>
      <diagonal/>
    </border>
    <border>
      <left style="thin">
        <color rgb="FFE7E7E7"/>
      </left>
      <right/>
      <top style="thin">
        <color rgb="FFE7E7E7"/>
      </top>
      <bottom style="thin">
        <color rgb="FFBFBFBF"/>
      </bottom>
      <diagonal/>
    </border>
    <border>
      <left/>
      <right style="thin">
        <color rgb="FFE7E7E7"/>
      </right>
      <top style="thin">
        <color rgb="FFBFBFBF"/>
      </top>
      <bottom style="thin">
        <color rgb="FFE7E7E7"/>
      </bottom>
      <diagonal/>
    </border>
    <border>
      <left style="thin">
        <color rgb="FFE7E7E7"/>
      </left>
      <right style="thin">
        <color rgb="FFE7E7E7"/>
      </right>
      <top style="thin">
        <color rgb="FFBFBFBF"/>
      </top>
      <bottom style="thin">
        <color rgb="FFE7E7E7"/>
      </bottom>
      <diagonal/>
    </border>
    <border>
      <left style="thin">
        <color rgb="FFE7E7E7"/>
      </left>
      <right/>
      <top style="thin">
        <color rgb="FFBFBFBF"/>
      </top>
      <bottom style="thin">
        <color rgb="FFE7E7E7"/>
      </bottom>
      <diagonal/>
    </border>
    <border>
      <left/>
      <right/>
      <top style="thin">
        <color rgb="FFBFBFBF"/>
      </top>
      <bottom/>
      <diagonal/>
    </border>
    <border>
      <left/>
      <right style="thin">
        <color rgb="FFE7E7E7"/>
      </right>
      <top style="thin">
        <color rgb="FFE7E7E7"/>
      </top>
      <bottom/>
      <diagonal/>
    </border>
    <border>
      <left style="thin">
        <color rgb="FFE7E7E7"/>
      </left>
      <right style="thin">
        <color rgb="FFE7E7E7"/>
      </right>
      <top style="thin">
        <color rgb="FFE7E7E7"/>
      </top>
      <bottom/>
      <diagonal/>
    </border>
    <border>
      <left style="thin">
        <color rgb="FFE7E7E7"/>
      </left>
      <right/>
      <top style="thin">
        <color rgb="FFE7E7E7"/>
      </top>
      <bottom/>
      <diagonal/>
    </border>
    <border>
      <left style="thin">
        <color rgb="FFE7E7E7"/>
      </left>
      <right/>
      <top style="thin">
        <color rgb="FFBFBFBF"/>
      </top>
      <bottom/>
      <diagonal/>
    </border>
    <border>
      <left/>
      <right style="thin">
        <color rgb="FFE7E7E7"/>
      </right>
      <top style="thin">
        <color rgb="FFBFBFBF"/>
      </top>
      <bottom/>
      <diagonal/>
    </border>
    <border>
      <left/>
      <right style="thin">
        <color rgb="FFE7E7E7"/>
      </right>
      <top style="thin">
        <color rgb="FFD9D9D9"/>
      </top>
      <bottom style="thin">
        <color rgb="FFD9D9D9"/>
      </bottom>
      <diagonal/>
    </border>
    <border>
      <left style="thin">
        <color rgb="FFE7E7E7"/>
      </left>
      <right/>
      <top style="thin">
        <color rgb="FFD9D9D9"/>
      </top>
      <bottom style="thin">
        <color rgb="FFD9D9D9"/>
      </bottom>
      <diagonal/>
    </border>
  </borders>
  <cellStyleXfs count="2">
    <xf numFmtId="0" fontId="0" fillId="0" borderId="0"/>
    <xf numFmtId="9" fontId="1" fillId="0" borderId="0" applyFont="0" applyFill="0" applyBorder="0" applyAlignment="0" applyProtection="0"/>
  </cellStyleXfs>
  <cellXfs count="203">
    <xf numFmtId="0" fontId="0" fillId="0" borderId="0" xfId="0"/>
    <xf numFmtId="164" fontId="0" fillId="0" borderId="0" xfId="0" applyNumberFormat="1"/>
    <xf numFmtId="165" fontId="0" fillId="0" borderId="0" xfId="0" applyNumberFormat="1"/>
    <xf numFmtId="2" fontId="0" fillId="0" borderId="0" xfId="0" applyNumberFormat="1"/>
    <xf numFmtId="166" fontId="0" fillId="0" borderId="0" xfId="0" applyNumberFormat="1"/>
    <xf numFmtId="0" fontId="4" fillId="0" borderId="0" xfId="0" applyFont="1"/>
    <xf numFmtId="0" fontId="2" fillId="2" borderId="0" xfId="0" applyFont="1" applyFill="1"/>
    <xf numFmtId="0" fontId="0" fillId="2" borderId="0" xfId="0" applyFill="1"/>
    <xf numFmtId="164" fontId="0" fillId="0" borderId="0" xfId="0" applyNumberFormat="1" applyAlignment="1">
      <alignment vertical="center"/>
    </xf>
    <xf numFmtId="0" fontId="0" fillId="0" borderId="0" xfId="0" applyAlignment="1">
      <alignment vertical="center"/>
    </xf>
    <xf numFmtId="165" fontId="0" fillId="0" borderId="0" xfId="0" applyNumberFormat="1" applyAlignment="1">
      <alignment vertical="center"/>
    </xf>
    <xf numFmtId="0" fontId="0" fillId="0" borderId="0" xfId="0" applyAlignment="1">
      <alignment vertical="center" wrapText="1"/>
    </xf>
    <xf numFmtId="167" fontId="0" fillId="0" borderId="0" xfId="0" applyNumberFormat="1"/>
    <xf numFmtId="1" fontId="0" fillId="0" borderId="0" xfId="0" applyNumberFormat="1"/>
    <xf numFmtId="0" fontId="6" fillId="0" borderId="0" xfId="0" applyFont="1"/>
    <xf numFmtId="164" fontId="0" fillId="2" borderId="0" xfId="0" applyNumberFormat="1" applyFill="1"/>
    <xf numFmtId="0" fontId="0" fillId="0" borderId="1" xfId="0" applyBorder="1" applyAlignment="1">
      <alignment horizontal="center" vertical="center"/>
    </xf>
    <xf numFmtId="0" fontId="0" fillId="0" borderId="1" xfId="0" applyBorder="1"/>
    <xf numFmtId="168" fontId="0" fillId="0" borderId="0" xfId="0" applyNumberFormat="1"/>
    <xf numFmtId="168" fontId="0" fillId="0" borderId="0" xfId="0" applyNumberFormat="1" applyAlignment="1">
      <alignment vertical="center"/>
    </xf>
    <xf numFmtId="0" fontId="0" fillId="0" borderId="4" xfId="0" applyBorder="1" applyAlignment="1">
      <alignment vertical="center"/>
    </xf>
    <xf numFmtId="0" fontId="0" fillId="3" borderId="0" xfId="0" applyFill="1" applyAlignment="1">
      <alignment vertical="center"/>
    </xf>
    <xf numFmtId="0" fontId="7" fillId="3" borderId="0" xfId="0" applyFont="1" applyFill="1" applyAlignment="1">
      <alignment vertical="center"/>
    </xf>
    <xf numFmtId="0" fontId="8" fillId="3" borderId="0" xfId="0" applyFont="1" applyFill="1" applyAlignment="1">
      <alignment vertical="center"/>
    </xf>
    <xf numFmtId="169" fontId="8" fillId="3" borderId="0" xfId="0" applyNumberFormat="1" applyFont="1" applyFill="1" applyAlignment="1">
      <alignment horizontal="center" vertical="center"/>
    </xf>
    <xf numFmtId="0" fontId="9" fillId="3" borderId="0" xfId="0" applyFont="1" applyFill="1" applyAlignment="1">
      <alignment vertical="center"/>
    </xf>
    <xf numFmtId="0" fontId="0" fillId="0" borderId="5" xfId="0" applyBorder="1"/>
    <xf numFmtId="0" fontId="0" fillId="0" borderId="5" xfId="0" applyBorder="1" applyAlignment="1">
      <alignment vertical="center"/>
    </xf>
    <xf numFmtId="0" fontId="0" fillId="0" borderId="5" xfId="0" applyBorder="1" applyAlignment="1">
      <alignment vertical="center" wrapText="1"/>
    </xf>
    <xf numFmtId="0" fontId="0" fillId="0" borderId="2" xfId="0" applyBorder="1" applyAlignment="1">
      <alignment vertical="center"/>
    </xf>
    <xf numFmtId="0" fontId="0" fillId="0" borderId="6" xfId="0" applyBorder="1" applyAlignment="1">
      <alignment vertical="center" wrapText="1"/>
    </xf>
    <xf numFmtId="0" fontId="0" fillId="0" borderId="6" xfId="0" applyBorder="1" applyAlignment="1">
      <alignment vertical="center"/>
    </xf>
    <xf numFmtId="169" fontId="0" fillId="0" borderId="6" xfId="0" applyNumberFormat="1" applyBorder="1" applyAlignment="1">
      <alignment horizontal="center" vertical="center"/>
    </xf>
    <xf numFmtId="0" fontId="0" fillId="0" borderId="6" xfId="0" applyBorder="1" applyAlignment="1">
      <alignment horizontal="center" vertical="center"/>
    </xf>
    <xf numFmtId="0" fontId="5" fillId="0" borderId="6" xfId="0" applyFont="1" applyBorder="1" applyAlignment="1">
      <alignment vertical="center" wrapText="1"/>
    </xf>
    <xf numFmtId="0" fontId="0" fillId="3" borderId="0" xfId="0" applyFill="1"/>
    <xf numFmtId="169" fontId="11" fillId="0" borderId="6" xfId="0" applyNumberFormat="1" applyFont="1" applyBorder="1" applyAlignment="1">
      <alignment horizontal="center" vertical="center"/>
    </xf>
    <xf numFmtId="9" fontId="12" fillId="0" borderId="6" xfId="0" applyNumberFormat="1" applyFont="1" applyBorder="1" applyAlignment="1">
      <alignment horizontal="center" vertical="center"/>
    </xf>
    <xf numFmtId="9" fontId="12" fillId="0" borderId="6" xfId="1" applyFont="1" applyBorder="1" applyAlignment="1">
      <alignment horizontal="center" vertical="center"/>
    </xf>
    <xf numFmtId="169" fontId="0" fillId="0" borderId="3" xfId="0" applyNumberFormat="1" applyBorder="1" applyAlignment="1">
      <alignment horizontal="center" vertical="center"/>
    </xf>
    <xf numFmtId="169" fontId="8" fillId="3" borderId="7" xfId="0" applyNumberFormat="1" applyFont="1" applyFill="1" applyBorder="1" applyAlignment="1">
      <alignment horizontal="center" vertical="center"/>
    </xf>
    <xf numFmtId="0" fontId="0" fillId="0" borderId="5" xfId="0" applyBorder="1" applyAlignment="1">
      <alignment horizontal="center" vertical="center"/>
    </xf>
    <xf numFmtId="0" fontId="0" fillId="0" borderId="9" xfId="0" applyBorder="1" applyAlignment="1">
      <alignment vertical="center"/>
    </xf>
    <xf numFmtId="0" fontId="0" fillId="0" borderId="10" xfId="0" applyBorder="1" applyAlignment="1">
      <alignment vertical="center" wrapText="1"/>
    </xf>
    <xf numFmtId="0" fontId="0" fillId="0" borderId="10" xfId="0" applyBorder="1" applyAlignment="1">
      <alignment vertical="center"/>
    </xf>
    <xf numFmtId="9" fontId="12" fillId="0" borderId="10" xfId="0" applyNumberFormat="1" applyFont="1" applyBorder="1" applyAlignment="1">
      <alignment horizontal="center" vertical="center"/>
    </xf>
    <xf numFmtId="169" fontId="11" fillId="0" borderId="10" xfId="0" applyNumberFormat="1" applyFont="1" applyBorder="1" applyAlignment="1">
      <alignment horizontal="center" vertical="center"/>
    </xf>
    <xf numFmtId="169" fontId="0" fillId="0" borderId="10" xfId="0" applyNumberFormat="1" applyBorder="1" applyAlignment="1">
      <alignment horizontal="center" vertical="center"/>
    </xf>
    <xf numFmtId="169" fontId="0" fillId="0" borderId="11" xfId="0" applyNumberFormat="1" applyBorder="1" applyAlignment="1">
      <alignment horizontal="center" vertical="center"/>
    </xf>
    <xf numFmtId="0" fontId="10" fillId="3" borderId="8" xfId="0" applyFont="1" applyFill="1" applyBorder="1" applyAlignment="1">
      <alignment horizontal="center" vertical="center"/>
    </xf>
    <xf numFmtId="0" fontId="8" fillId="3" borderId="8"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lignment horizontal="center" vertical="center"/>
    </xf>
    <xf numFmtId="0" fontId="0" fillId="0" borderId="6"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170" fontId="0" fillId="0" borderId="10" xfId="0" applyNumberFormat="1" applyBorder="1" applyAlignment="1">
      <alignment horizontal="center" vertical="center"/>
    </xf>
    <xf numFmtId="0" fontId="8" fillId="3" borderId="14" xfId="0" applyFont="1" applyFill="1" applyBorder="1" applyAlignment="1">
      <alignment horizontal="center" vertical="center" wrapText="1"/>
    </xf>
    <xf numFmtId="0" fontId="0" fillId="0" borderId="15" xfId="0" applyBorder="1" applyAlignment="1">
      <alignment horizontal="center" vertical="center"/>
    </xf>
    <xf numFmtId="169" fontId="0" fillId="0" borderId="15" xfId="0" applyNumberFormat="1" applyBorder="1" applyAlignment="1">
      <alignment horizontal="center" vertical="center"/>
    </xf>
    <xf numFmtId="0" fontId="14" fillId="0" borderId="15" xfId="0" applyFont="1" applyBorder="1" applyAlignment="1">
      <alignment horizontal="center" vertical="center"/>
    </xf>
    <xf numFmtId="169" fontId="14" fillId="0" borderId="15" xfId="0" applyNumberFormat="1" applyFont="1" applyBorder="1" applyAlignment="1">
      <alignment horizontal="center" vertical="center"/>
    </xf>
    <xf numFmtId="9" fontId="0" fillId="0" borderId="15" xfId="1" applyFont="1" applyBorder="1" applyAlignment="1">
      <alignment horizontal="center" vertical="center"/>
    </xf>
    <xf numFmtId="9" fontId="14" fillId="0" borderId="15" xfId="1" applyFont="1" applyBorder="1" applyAlignment="1">
      <alignment horizontal="center" vertical="center"/>
    </xf>
    <xf numFmtId="9" fontId="13" fillId="2" borderId="0" xfId="1" applyFont="1" applyFill="1" applyAlignment="1">
      <alignment horizontal="center" vertical="center"/>
    </xf>
    <xf numFmtId="0" fontId="16" fillId="4" borderId="0" xfId="0" applyFont="1" applyFill="1"/>
    <xf numFmtId="0" fontId="17" fillId="0" borderId="0" xfId="0" applyFont="1" applyAlignment="1">
      <alignment vertical="top"/>
    </xf>
    <xf numFmtId="0" fontId="21" fillId="6" borderId="0" xfId="0" applyFont="1" applyFill="1" applyAlignment="1">
      <alignment vertical="top"/>
    </xf>
    <xf numFmtId="0" fontId="21" fillId="6" borderId="18" xfId="0" applyFont="1" applyFill="1" applyBorder="1" applyAlignment="1">
      <alignment vertical="top"/>
    </xf>
    <xf numFmtId="0" fontId="21" fillId="6" borderId="17" xfId="0" applyFont="1" applyFill="1" applyBorder="1" applyAlignment="1">
      <alignment vertical="top"/>
    </xf>
    <xf numFmtId="0" fontId="17" fillId="0" borderId="19" xfId="0" applyFont="1" applyBorder="1" applyAlignment="1">
      <alignment vertical="top" wrapText="1"/>
    </xf>
    <xf numFmtId="0" fontId="17" fillId="0" borderId="20" xfId="0" applyFont="1" applyBorder="1" applyAlignment="1">
      <alignment vertical="top" wrapText="1"/>
    </xf>
    <xf numFmtId="0" fontId="23" fillId="8" borderId="21" xfId="0" applyFont="1" applyFill="1" applyBorder="1" applyAlignment="1">
      <alignment vertical="top"/>
    </xf>
    <xf numFmtId="0" fontId="24" fillId="0" borderId="20" xfId="0" applyFont="1" applyBorder="1" applyAlignment="1">
      <alignment horizontal="right" vertical="top"/>
    </xf>
    <xf numFmtId="0" fontId="21" fillId="0" borderId="22" xfId="0" applyFont="1" applyBorder="1" applyAlignment="1">
      <alignment vertical="top"/>
    </xf>
    <xf numFmtId="0" fontId="0" fillId="0" borderId="23" xfId="0" applyBorder="1" applyAlignment="1">
      <alignment wrapText="1"/>
    </xf>
    <xf numFmtId="0" fontId="21" fillId="0" borderId="25" xfId="0" applyFont="1" applyBorder="1" applyAlignment="1">
      <alignment vertical="top"/>
    </xf>
    <xf numFmtId="0" fontId="23" fillId="8" borderId="28" xfId="0" applyFont="1" applyFill="1" applyBorder="1" applyAlignment="1">
      <alignment vertical="top"/>
    </xf>
    <xf numFmtId="0" fontId="16" fillId="8" borderId="29" xfId="0" applyFont="1" applyFill="1" applyBorder="1"/>
    <xf numFmtId="0" fontId="21" fillId="0" borderId="22" xfId="0" applyFont="1" applyBorder="1" applyAlignment="1">
      <alignment vertical="top" wrapText="1"/>
    </xf>
    <xf numFmtId="0" fontId="21" fillId="0" borderId="25" xfId="0" applyFont="1" applyBorder="1" applyAlignment="1">
      <alignment vertical="top" wrapText="1"/>
    </xf>
    <xf numFmtId="0" fontId="23" fillId="8" borderId="28" xfId="0" applyFont="1" applyFill="1" applyBorder="1" applyAlignment="1">
      <alignment vertical="center"/>
    </xf>
    <xf numFmtId="0" fontId="29" fillId="0" borderId="22" xfId="0" applyFont="1" applyBorder="1" applyAlignment="1">
      <alignment vertical="top" wrapText="1"/>
    </xf>
    <xf numFmtId="0" fontId="29" fillId="0" borderId="25" xfId="0" applyFont="1" applyBorder="1" applyAlignment="1">
      <alignment vertical="top" wrapText="1"/>
    </xf>
    <xf numFmtId="0" fontId="21" fillId="6" borderId="16" xfId="0" applyFont="1" applyFill="1" applyBorder="1" applyAlignment="1">
      <alignment vertical="top" wrapText="1"/>
    </xf>
    <xf numFmtId="0" fontId="21" fillId="6" borderId="0" xfId="0" applyFont="1" applyFill="1" applyAlignment="1">
      <alignment vertical="top" wrapText="1"/>
    </xf>
    <xf numFmtId="0" fontId="21" fillId="6" borderId="18" xfId="0" applyFont="1" applyFill="1" applyBorder="1" applyAlignment="1">
      <alignment vertical="top" wrapText="1"/>
    </xf>
    <xf numFmtId="0" fontId="21" fillId="6" borderId="17" xfId="0" applyFont="1" applyFill="1" applyBorder="1" applyAlignment="1">
      <alignment vertical="top" wrapText="1"/>
    </xf>
    <xf numFmtId="0" fontId="21" fillId="10" borderId="18" xfId="0" applyFont="1" applyFill="1" applyBorder="1" applyAlignment="1">
      <alignment vertical="top" wrapText="1"/>
    </xf>
    <xf numFmtId="0" fontId="29" fillId="0" borderId="32" xfId="0" applyFont="1" applyBorder="1" applyAlignment="1">
      <alignment vertical="top" wrapText="1"/>
    </xf>
    <xf numFmtId="0" fontId="0" fillId="0" borderId="33" xfId="0" applyBorder="1" applyAlignment="1">
      <alignment wrapText="1"/>
    </xf>
    <xf numFmtId="0" fontId="21" fillId="6" borderId="31" xfId="0" applyFont="1" applyFill="1" applyBorder="1" applyAlignment="1">
      <alignment vertical="top" wrapText="1"/>
    </xf>
    <xf numFmtId="0" fontId="21" fillId="2" borderId="16" xfId="0" applyFont="1" applyFill="1" applyBorder="1" applyAlignment="1">
      <alignment vertical="top" wrapText="1"/>
    </xf>
    <xf numFmtId="49" fontId="24" fillId="0" borderId="19" xfId="0" applyNumberFormat="1" applyFont="1" applyBorder="1" applyAlignment="1">
      <alignment horizontal="right" vertical="top"/>
    </xf>
    <xf numFmtId="0" fontId="15" fillId="6" borderId="0" xfId="0" applyFont="1" applyFill="1" applyAlignment="1">
      <alignment vertical="top" wrapText="1"/>
    </xf>
    <xf numFmtId="0" fontId="15" fillId="6" borderId="17" xfId="0" applyFont="1" applyFill="1" applyBorder="1" applyAlignment="1">
      <alignment vertical="top" wrapText="1"/>
    </xf>
    <xf numFmtId="0" fontId="15" fillId="10" borderId="18" xfId="0" applyFont="1" applyFill="1" applyBorder="1" applyAlignment="1">
      <alignment vertical="top" wrapText="1"/>
    </xf>
    <xf numFmtId="0" fontId="34" fillId="0" borderId="22" xfId="0" applyFont="1" applyBorder="1" applyAlignment="1">
      <alignment wrapText="1"/>
    </xf>
    <xf numFmtId="0" fontId="16" fillId="8" borderId="28" xfId="0" applyFont="1" applyFill="1" applyBorder="1"/>
    <xf numFmtId="0" fontId="34" fillId="0" borderId="32" xfId="0" applyFont="1" applyBorder="1" applyAlignment="1">
      <alignment wrapText="1"/>
    </xf>
    <xf numFmtId="0" fontId="34" fillId="6" borderId="36" xfId="0" applyFont="1" applyFill="1" applyBorder="1" applyAlignment="1">
      <alignment vertical="top" wrapText="1"/>
    </xf>
    <xf numFmtId="0" fontId="34" fillId="6" borderId="37" xfId="0" applyFont="1" applyFill="1" applyBorder="1" applyAlignment="1">
      <alignment vertical="top" wrapText="1"/>
    </xf>
    <xf numFmtId="0" fontId="30" fillId="0" borderId="23" xfId="0" applyFont="1" applyBorder="1" applyAlignment="1">
      <alignment wrapText="1"/>
    </xf>
    <xf numFmtId="0" fontId="28" fillId="0" borderId="23" xfId="0" applyFont="1" applyBorder="1" applyAlignment="1">
      <alignment wrapText="1"/>
    </xf>
    <xf numFmtId="0" fontId="28" fillId="0" borderId="24" xfId="0" applyFont="1" applyBorder="1" applyAlignment="1">
      <alignment wrapText="1"/>
    </xf>
    <xf numFmtId="0" fontId="30" fillId="0" borderId="33" xfId="0" applyFont="1" applyBorder="1" applyAlignment="1">
      <alignment wrapText="1"/>
    </xf>
    <xf numFmtId="0" fontId="28" fillId="0" borderId="33" xfId="0" applyFont="1" applyBorder="1" applyAlignment="1">
      <alignment wrapText="1"/>
    </xf>
    <xf numFmtId="0" fontId="28" fillId="0" borderId="34" xfId="0" applyFont="1" applyBorder="1" applyAlignment="1">
      <alignment wrapText="1"/>
    </xf>
    <xf numFmtId="0" fontId="0" fillId="0" borderId="35" xfId="0" applyBorder="1" applyAlignment="1">
      <alignment vertical="top" wrapText="1"/>
    </xf>
    <xf numFmtId="0" fontId="0" fillId="0" borderId="31" xfId="0" applyBorder="1"/>
    <xf numFmtId="0" fontId="0" fillId="0" borderId="38" xfId="0" applyBorder="1" applyAlignment="1">
      <alignment vertical="top" wrapText="1"/>
    </xf>
    <xf numFmtId="0" fontId="0" fillId="0" borderId="18" xfId="0" applyBorder="1"/>
    <xf numFmtId="0" fontId="0" fillId="0" borderId="23" xfId="0" applyBorder="1"/>
    <xf numFmtId="0" fontId="0" fillId="0" borderId="24" xfId="0" applyBorder="1"/>
    <xf numFmtId="0" fontId="33" fillId="0" borderId="0" xfId="0" applyFont="1" applyAlignment="1">
      <alignment horizontal="center"/>
    </xf>
    <xf numFmtId="0" fontId="0" fillId="0" borderId="0" xfId="0"/>
    <xf numFmtId="0" fontId="20" fillId="11" borderId="0" xfId="0" applyFont="1" applyFill="1" applyAlignment="1">
      <alignment vertical="center"/>
    </xf>
    <xf numFmtId="0" fontId="0" fillId="0" borderId="0" xfId="0" applyAlignment="1">
      <alignment vertical="top" wrapText="1"/>
    </xf>
    <xf numFmtId="0" fontId="0" fillId="0" borderId="17" xfId="0" applyBorder="1" applyAlignment="1">
      <alignment vertical="top" wrapText="1"/>
    </xf>
    <xf numFmtId="0" fontId="0" fillId="0" borderId="17" xfId="0" applyBorder="1"/>
    <xf numFmtId="0" fontId="0" fillId="0" borderId="18" xfId="0" applyBorder="1" applyAlignment="1">
      <alignment vertical="top" wrapText="1"/>
    </xf>
    <xf numFmtId="0" fontId="20" fillId="5" borderId="0" xfId="0" applyFont="1" applyFill="1" applyAlignment="1">
      <alignment vertical="center"/>
    </xf>
    <xf numFmtId="0" fontId="27" fillId="0" borderId="23" xfId="0" applyFont="1" applyBorder="1" applyAlignment="1">
      <alignment wrapText="1"/>
    </xf>
    <xf numFmtId="0" fontId="32" fillId="0" borderId="23" xfId="0" applyFont="1" applyBorder="1" applyAlignment="1">
      <alignment wrapText="1"/>
    </xf>
    <xf numFmtId="0" fontId="32" fillId="0" borderId="24" xfId="0" applyFont="1" applyBorder="1" applyAlignment="1">
      <alignment wrapText="1"/>
    </xf>
    <xf numFmtId="0" fontId="27" fillId="0" borderId="26" xfId="0" applyFont="1" applyBorder="1" applyAlignment="1">
      <alignment wrapText="1"/>
    </xf>
    <xf numFmtId="0" fontId="32" fillId="0" borderId="26" xfId="0" applyFont="1" applyBorder="1" applyAlignment="1">
      <alignment wrapText="1"/>
    </xf>
    <xf numFmtId="0" fontId="32" fillId="0" borderId="27" xfId="0" applyFont="1" applyBorder="1" applyAlignment="1">
      <alignment wrapText="1"/>
    </xf>
    <xf numFmtId="0" fontId="26" fillId="0" borderId="0" xfId="0" applyFont="1" applyAlignment="1">
      <alignment wrapText="1"/>
    </xf>
    <xf numFmtId="0" fontId="16" fillId="8" borderId="29" xfId="0" applyFont="1" applyFill="1" applyBorder="1"/>
    <xf numFmtId="0" fontId="16" fillId="8" borderId="30" xfId="0" applyFont="1" applyFill="1" applyBorder="1"/>
    <xf numFmtId="0" fontId="15" fillId="7" borderId="17" xfId="0" applyFont="1" applyFill="1" applyBorder="1"/>
    <xf numFmtId="0" fontId="0" fillId="0" borderId="16" xfId="0" applyBorder="1" applyAlignment="1">
      <alignment vertical="top" wrapText="1"/>
    </xf>
    <xf numFmtId="0" fontId="0" fillId="0" borderId="16" xfId="0" applyBorder="1"/>
    <xf numFmtId="0" fontId="0" fillId="0" borderId="33" xfId="0" applyBorder="1" applyAlignment="1">
      <alignment wrapText="1"/>
    </xf>
    <xf numFmtId="0" fontId="0" fillId="0" borderId="33" xfId="0" applyBorder="1"/>
    <xf numFmtId="0" fontId="0" fillId="0" borderId="34" xfId="0" applyBorder="1" applyAlignment="1">
      <alignment wrapText="1"/>
    </xf>
    <xf numFmtId="0" fontId="0" fillId="0" borderId="31" xfId="0" applyBorder="1" applyAlignment="1">
      <alignment vertical="top" wrapText="1"/>
    </xf>
    <xf numFmtId="0" fontId="15" fillId="7" borderId="0" xfId="0" applyFont="1" applyFill="1"/>
    <xf numFmtId="0" fontId="0" fillId="0" borderId="23" xfId="0" applyBorder="1" applyAlignment="1">
      <alignment horizontal="left"/>
    </xf>
    <xf numFmtId="0" fontId="0" fillId="0" borderId="23" xfId="0" applyBorder="1" applyAlignment="1">
      <alignment wrapText="1"/>
    </xf>
    <xf numFmtId="0" fontId="0" fillId="0" borderId="24" xfId="0" applyBorder="1" applyAlignment="1">
      <alignment wrapText="1"/>
    </xf>
    <xf numFmtId="0" fontId="0" fillId="0" borderId="26" xfId="0" applyBorder="1" applyAlignment="1">
      <alignment wrapText="1"/>
    </xf>
    <xf numFmtId="0" fontId="0" fillId="0" borderId="27" xfId="0" applyBorder="1" applyAlignment="1">
      <alignment wrapText="1"/>
    </xf>
    <xf numFmtId="0" fontId="31" fillId="2" borderId="0" xfId="0" applyFont="1" applyFill="1" applyAlignment="1">
      <alignment wrapText="1"/>
    </xf>
    <xf numFmtId="0" fontId="28" fillId="0" borderId="26" xfId="0" applyFont="1" applyBorder="1" applyAlignment="1">
      <alignment wrapText="1"/>
    </xf>
    <xf numFmtId="0" fontId="28" fillId="0" borderId="27" xfId="0" applyFont="1" applyBorder="1" applyAlignment="1">
      <alignment wrapText="1"/>
    </xf>
    <xf numFmtId="0" fontId="15" fillId="7" borderId="31" xfId="0" applyFont="1" applyFill="1" applyBorder="1"/>
    <xf numFmtId="0" fontId="16" fillId="9" borderId="0" xfId="0" applyFont="1" applyFill="1"/>
    <xf numFmtId="0" fontId="30" fillId="0" borderId="26" xfId="0" applyFont="1" applyBorder="1" applyAlignment="1">
      <alignment wrapText="1"/>
    </xf>
    <xf numFmtId="0" fontId="0" fillId="0" borderId="26" xfId="0" applyBorder="1" applyAlignment="1">
      <alignment vertical="top" wrapText="1"/>
    </xf>
    <xf numFmtId="0" fontId="0" fillId="0" borderId="27" xfId="0" applyBorder="1" applyAlignment="1">
      <alignment vertical="top" wrapText="1"/>
    </xf>
    <xf numFmtId="0" fontId="0" fillId="0" borderId="23" xfId="0" applyBorder="1" applyAlignment="1">
      <alignment vertical="top" wrapText="1"/>
    </xf>
    <xf numFmtId="0" fontId="16" fillId="8" borderId="29" xfId="0" applyFont="1" applyFill="1" applyBorder="1" applyAlignment="1">
      <alignment vertical="center"/>
    </xf>
    <xf numFmtId="0" fontId="16" fillId="8" borderId="30" xfId="0" applyFont="1" applyFill="1" applyBorder="1" applyAlignment="1">
      <alignment vertical="center"/>
    </xf>
    <xf numFmtId="0" fontId="0" fillId="0" borderId="20" xfId="0" applyBorder="1" applyAlignment="1">
      <alignment wrapText="1"/>
    </xf>
    <xf numFmtId="0" fontId="0" fillId="0" borderId="20" xfId="0" applyBorder="1"/>
    <xf numFmtId="0" fontId="0" fillId="0" borderId="19" xfId="0" applyBorder="1" applyAlignment="1">
      <alignment wrapText="1"/>
    </xf>
    <xf numFmtId="0" fontId="0" fillId="0" borderId="19" xfId="0" applyBorder="1"/>
    <xf numFmtId="0" fontId="16" fillId="8" borderId="21" xfId="0" applyFont="1" applyFill="1" applyBorder="1"/>
    <xf numFmtId="0" fontId="0" fillId="0" borderId="0" xfId="0" applyAlignment="1">
      <alignment wrapText="1"/>
    </xf>
    <xf numFmtId="0" fontId="0" fillId="0" borderId="18" xfId="0" applyBorder="1" applyAlignment="1">
      <alignment wrapText="1"/>
    </xf>
    <xf numFmtId="0" fontId="22" fillId="7" borderId="0" xfId="0" applyFont="1" applyFill="1"/>
    <xf numFmtId="0" fontId="0" fillId="0" borderId="17" xfId="0" applyBorder="1" applyAlignment="1">
      <alignment wrapText="1"/>
    </xf>
    <xf numFmtId="0" fontId="18" fillId="0" borderId="0" xfId="0" applyFont="1"/>
    <xf numFmtId="0" fontId="19" fillId="0" borderId="0" xfId="0" applyFont="1"/>
    <xf numFmtId="0" fontId="0" fillId="0" borderId="17" xfId="0" applyBorder="1" applyAlignment="1">
      <alignment horizontal="left"/>
    </xf>
    <xf numFmtId="175" fontId="0" fillId="0" borderId="0" xfId="0" applyNumberFormat="1"/>
    <xf numFmtId="173" fontId="30" fillId="0" borderId="6" xfId="0" applyNumberFormat="1" applyFont="1" applyBorder="1" applyAlignment="1">
      <alignment horizontal="center" vertical="center"/>
    </xf>
    <xf numFmtId="173" fontId="13" fillId="2" borderId="0" xfId="1" applyNumberFormat="1" applyFont="1" applyFill="1" applyAlignment="1">
      <alignment horizontal="center" vertical="center"/>
    </xf>
    <xf numFmtId="173" fontId="0" fillId="0" borderId="0" xfId="0" applyNumberFormat="1"/>
    <xf numFmtId="0" fontId="8" fillId="3" borderId="0" xfId="0" applyFont="1" applyFill="1" applyBorder="1" applyAlignment="1">
      <alignment vertical="center"/>
    </xf>
    <xf numFmtId="167" fontId="15" fillId="0" borderId="0" xfId="0" applyNumberFormat="1" applyFont="1"/>
    <xf numFmtId="0" fontId="35" fillId="2" borderId="0" xfId="0" applyFont="1" applyFill="1" applyBorder="1" applyAlignment="1">
      <alignment vertical="center"/>
    </xf>
    <xf numFmtId="167" fontId="31" fillId="2" borderId="0" xfId="0" applyNumberFormat="1" applyFont="1" applyFill="1"/>
    <xf numFmtId="175" fontId="0" fillId="0" borderId="17" xfId="0" applyNumberFormat="1" applyBorder="1" applyAlignment="1">
      <alignment horizontal="left" wrapText="1"/>
    </xf>
    <xf numFmtId="167" fontId="36" fillId="0" borderId="19" xfId="0" applyNumberFormat="1" applyFont="1" applyBorder="1" applyAlignment="1">
      <alignment horizontal="right" vertical="top"/>
    </xf>
    <xf numFmtId="173" fontId="36" fillId="0" borderId="19" xfId="0" applyNumberFormat="1" applyFont="1" applyBorder="1" applyAlignment="1">
      <alignment horizontal="right" vertical="top"/>
    </xf>
    <xf numFmtId="49" fontId="2" fillId="2" borderId="23" xfId="0" applyNumberFormat="1" applyFont="1" applyFill="1" applyBorder="1" applyAlignment="1">
      <alignment horizontal="left" wrapText="1"/>
    </xf>
    <xf numFmtId="0" fontId="2" fillId="2" borderId="16" xfId="0" applyFont="1" applyFill="1" applyBorder="1" applyAlignment="1">
      <alignment vertical="top" wrapText="1"/>
    </xf>
    <xf numFmtId="0" fontId="0" fillId="0" borderId="0" xfId="0" applyBorder="1" applyAlignment="1">
      <alignment wrapText="1"/>
    </xf>
    <xf numFmtId="0" fontId="21" fillId="6" borderId="0" xfId="0" applyFont="1" applyFill="1" applyBorder="1" applyAlignment="1">
      <alignment vertical="top" wrapText="1"/>
    </xf>
    <xf numFmtId="0" fontId="37" fillId="9" borderId="0" xfId="0" applyFont="1" applyFill="1" applyBorder="1" applyAlignment="1">
      <alignment vertical="top" wrapText="1"/>
    </xf>
    <xf numFmtId="0" fontId="38" fillId="6" borderId="0" xfId="0" applyFont="1" applyFill="1"/>
    <xf numFmtId="0" fontId="39" fillId="0" borderId="0" xfId="0" applyFont="1"/>
    <xf numFmtId="0" fontId="21" fillId="6" borderId="0" xfId="0" applyFont="1" applyFill="1"/>
    <xf numFmtId="0" fontId="6" fillId="0" borderId="0" xfId="0" quotePrefix="1" applyFont="1"/>
    <xf numFmtId="0" fontId="6" fillId="0" borderId="0" xfId="0" applyFont="1" applyAlignment="1">
      <alignment wrapText="1"/>
    </xf>
    <xf numFmtId="0" fontId="40" fillId="9" borderId="0" xfId="0" applyFont="1" applyFill="1"/>
    <xf numFmtId="0" fontId="40" fillId="8" borderId="0" xfId="0" applyFont="1" applyFill="1"/>
    <xf numFmtId="0" fontId="41" fillId="0" borderId="0" xfId="0" applyFont="1"/>
    <xf numFmtId="0" fontId="42" fillId="2" borderId="0" xfId="0" applyFont="1" applyFill="1"/>
    <xf numFmtId="0" fontId="43" fillId="2" borderId="0" xfId="0" applyFont="1" applyFill="1"/>
    <xf numFmtId="0" fontId="6" fillId="0" borderId="0" xfId="0" applyFont="1" applyBorder="1" applyAlignment="1">
      <alignment wrapText="1"/>
    </xf>
    <xf numFmtId="0" fontId="0" fillId="0" borderId="23" xfId="0" applyBorder="1" applyAlignment="1">
      <alignment vertical="top"/>
    </xf>
    <xf numFmtId="0" fontId="28" fillId="0" borderId="23" xfId="0" applyFont="1" applyBorder="1" applyAlignment="1">
      <alignment vertical="top" wrapText="1"/>
    </xf>
    <xf numFmtId="0" fontId="0" fillId="0" borderId="24" xfId="0" applyBorder="1" applyAlignment="1">
      <alignment vertical="top"/>
    </xf>
    <xf numFmtId="0" fontId="28" fillId="0" borderId="24" xfId="0" applyFont="1" applyBorder="1" applyAlignment="1">
      <alignment vertical="top" wrapText="1"/>
    </xf>
    <xf numFmtId="0" fontId="28" fillId="0" borderId="26" xfId="0" applyFont="1" applyBorder="1" applyAlignment="1">
      <alignment vertical="top" wrapText="1"/>
    </xf>
    <xf numFmtId="0" fontId="28" fillId="0" borderId="27" xfId="0" applyFont="1" applyBorder="1" applyAlignment="1">
      <alignment vertical="top" wrapText="1"/>
    </xf>
    <xf numFmtId="0" fontId="0" fillId="0" borderId="17" xfId="0" applyFill="1" applyBorder="1" applyAlignment="1">
      <alignment wrapText="1"/>
    </xf>
    <xf numFmtId="0" fontId="0" fillId="0" borderId="17" xfId="0" applyFill="1" applyBorder="1"/>
  </cellXfs>
  <cellStyles count="2">
    <cellStyle name="Normal" xfId="0" builtinId="0"/>
    <cellStyle name="Per cent" xfId="1" builtinId="5"/>
  </cellStyles>
  <dxfs count="0"/>
  <tableStyles count="0" defaultTableStyle="TableStyleMedium2" defaultPivotStyle="PivotStyleLight16"/>
  <colors>
    <mruColors>
      <color rgb="FF130F17"/>
      <color rgb="FF7C4DFF"/>
      <color rgb="FF4E47E6"/>
      <color rgb="FFF4F1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rgbClr val="130F17"/>
              </a:solidFill>
              <a:latin typeface="+mn-lt"/>
              <a:ea typeface="+mn-ea"/>
              <a:cs typeface="+mn-cs"/>
            </a:defRPr>
          </a:pPr>
          <a:endParaRPr lang="en-US"/>
        </a:p>
      </c:txPr>
    </c:title>
    <c:autoTitleDeleted val="0"/>
    <c:plotArea>
      <c:layout/>
      <c:doughnutChart>
        <c:varyColors val="1"/>
        <c:ser>
          <c:idx val="0"/>
          <c:order val="0"/>
          <c:tx>
            <c:strRef>
              <c:f>EduWand!$AE$2</c:f>
              <c:strCache>
                <c:ptCount val="1"/>
                <c:pt idx="0">
                  <c:v>Time without EduWand</c:v>
                </c:pt>
              </c:strCache>
            </c:strRef>
          </c:tx>
          <c:spPr>
            <a:solidFill>
              <a:srgbClr val="7C4DFF"/>
            </a:solidFill>
            <a:ln w="3175"/>
          </c:spPr>
          <c:dPt>
            <c:idx val="0"/>
            <c:bubble3D val="0"/>
            <c:spPr>
              <a:solidFill>
                <a:srgbClr val="7C4DFF"/>
              </a:solidFill>
              <a:ln w="3175">
                <a:solidFill>
                  <a:schemeClr val="lt1"/>
                </a:solidFill>
              </a:ln>
              <a:effectLst/>
            </c:spPr>
            <c:extLst>
              <c:ext xmlns:c16="http://schemas.microsoft.com/office/drawing/2014/chart" uri="{C3380CC4-5D6E-409C-BE32-E72D297353CC}">
                <c16:uniqueId val="{0000000B-1A92-EA46-8CBE-73EF0C0B1666}"/>
              </c:ext>
            </c:extLst>
          </c:dPt>
          <c:dPt>
            <c:idx val="1"/>
            <c:bubble3D val="0"/>
            <c:spPr>
              <a:solidFill>
                <a:srgbClr val="130F17"/>
              </a:solidFill>
              <a:ln w="3175">
                <a:solidFill>
                  <a:schemeClr val="lt1"/>
                </a:solidFill>
              </a:ln>
              <a:effectLst/>
            </c:spPr>
            <c:extLst>
              <c:ext xmlns:c16="http://schemas.microsoft.com/office/drawing/2014/chart" uri="{C3380CC4-5D6E-409C-BE32-E72D297353CC}">
                <c16:uniqueId val="{0000000C-1A92-EA46-8CBE-73EF0C0B1666}"/>
              </c:ext>
            </c:extLst>
          </c:dPt>
          <c:dPt>
            <c:idx val="2"/>
            <c:bubble3D val="0"/>
            <c:spPr>
              <a:solidFill>
                <a:srgbClr val="4E47E6"/>
              </a:solidFill>
              <a:ln w="3175">
                <a:solidFill>
                  <a:schemeClr val="lt1"/>
                </a:solidFill>
              </a:ln>
              <a:effectLst/>
            </c:spPr>
            <c:extLst>
              <c:ext xmlns:c16="http://schemas.microsoft.com/office/drawing/2014/chart" uri="{C3380CC4-5D6E-409C-BE32-E72D297353CC}">
                <c16:uniqueId val="{0000000A-1A92-EA46-8CBE-73EF0C0B1666}"/>
              </c:ext>
            </c:extLst>
          </c:dPt>
          <c:dLbls>
            <c:dLbl>
              <c:idx val="0"/>
              <c:layout>
                <c:manualLayout>
                  <c:x val="0.12798400221879833"/>
                  <c:y val="-7.8144086982802147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A92-EA46-8CBE-73EF0C0B1666}"/>
                </c:ext>
              </c:extLst>
            </c:dLbl>
            <c:dLbl>
              <c:idx val="1"/>
              <c:layout>
                <c:manualLayout>
                  <c:x val="0.2194091466625403"/>
                  <c:y val="7.583875624648021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130F17"/>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4700832089153899"/>
                      <c:h val="0.23860825176712222"/>
                    </c:manualLayout>
                  </c15:layout>
                </c:ext>
                <c:ext xmlns:c16="http://schemas.microsoft.com/office/drawing/2014/chart" uri="{C3380CC4-5D6E-409C-BE32-E72D297353CC}">
                  <c16:uniqueId val="{0000000C-1A92-EA46-8CBE-73EF0C0B1666}"/>
                </c:ext>
              </c:extLst>
            </c:dLbl>
            <c:dLbl>
              <c:idx val="2"/>
              <c:layout>
                <c:manualLayout>
                  <c:x val="-0.17806469873919764"/>
                  <c:y val="-0.17007830696256937"/>
                </c:manualLayout>
              </c:layout>
              <c:tx>
                <c:rich>
                  <a:bodyPr/>
                  <a:lstStyle/>
                  <a:p>
                    <a:fld id="{D1C3305A-D248-B04B-93B2-13B6F237F5DC}" type="CATEGORYNAME">
                      <a:rPr lang="en-US"/>
                      <a:pPr/>
                      <a:t>[CATEGORY NAME]</a:t>
                    </a:fld>
                    <a:r>
                      <a:rPr lang="en-US" baseline="0"/>
                      <a:t>, </a:t>
                    </a:r>
                  </a:p>
                  <a:p>
                    <a:fld id="{94DE970B-DB17-544C-ADEF-89D5AA5E37BE}" type="VALUE">
                      <a:rPr lang="en-US" baseline="0"/>
                      <a:pPr/>
                      <a:t>[VALUE]</a:t>
                    </a:fld>
                    <a:r>
                      <a:rPr lang="en-US" baseline="0"/>
                      <a:t>, </a:t>
                    </a:r>
                    <a:fld id="{5674A9D1-CDF9-F447-A5A1-129E4A999384}" type="PERCENTAGE">
                      <a:rPr lang="en-US" baseline="0"/>
                      <a:pPr/>
                      <a:t>[PERCENTAGE]</a:t>
                    </a:fld>
                    <a:endParaRPr lang="en-US" baseline="0"/>
                  </a:p>
                </c:rich>
              </c:tx>
              <c:showLegendKey val="0"/>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A-1A92-EA46-8CBE-73EF0C0B166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30F17"/>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EduWand!$AD$3:$AD$5</c:f>
              <c:strCache>
                <c:ptCount val="3"/>
                <c:pt idx="0">
                  <c:v>Administration</c:v>
                </c:pt>
                <c:pt idx="1">
                  <c:v>Class Planning/Grading</c:v>
                </c:pt>
                <c:pt idx="2">
                  <c:v>Teaching</c:v>
                </c:pt>
              </c:strCache>
            </c:strRef>
          </c:cat>
          <c:val>
            <c:numRef>
              <c:f>EduWand!$AE$3:$AE$5</c:f>
              <c:numCache>
                <c:formatCode>0\ "hours"</c:formatCode>
                <c:ptCount val="3"/>
                <c:pt idx="0">
                  <c:v>59.5</c:v>
                </c:pt>
                <c:pt idx="1">
                  <c:v>29.67</c:v>
                </c:pt>
                <c:pt idx="2">
                  <c:v>98.25</c:v>
                </c:pt>
              </c:numCache>
            </c:numRef>
          </c:val>
          <c:extLst>
            <c:ext xmlns:c16="http://schemas.microsoft.com/office/drawing/2014/chart" uri="{C3380CC4-5D6E-409C-BE32-E72D297353CC}">
              <c16:uniqueId val="{00000000-1A92-EA46-8CBE-73EF0C0B1666}"/>
            </c:ext>
          </c:extLst>
        </c:ser>
        <c:dLbls>
          <c:showLegendKey val="0"/>
          <c:showVal val="1"/>
          <c:showCatName val="0"/>
          <c:showSerName val="0"/>
          <c:showPercent val="0"/>
          <c:showBubbleSize val="0"/>
          <c:showLeaderLines val="1"/>
        </c:dLbls>
        <c:firstSliceAng val="0"/>
        <c:holeSize val="6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30F1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130F17"/>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1" i="0" u="none" strike="noStrike" kern="1200" spc="0" baseline="0">
                <a:solidFill>
                  <a:srgbClr val="130F17"/>
                </a:solidFill>
                <a:latin typeface="+mn-lt"/>
                <a:ea typeface="+mn-ea"/>
                <a:cs typeface="+mn-cs"/>
              </a:defRPr>
            </a:pPr>
            <a:r>
              <a:rPr lang="en-GB"/>
              <a:t>Time with Eduwand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30F17"/>
              </a:solidFill>
              <a:latin typeface="+mn-lt"/>
              <a:ea typeface="+mn-ea"/>
              <a:cs typeface="+mn-cs"/>
            </a:defRPr>
          </a:pPr>
          <a:endParaRPr lang="en-US"/>
        </a:p>
      </c:txPr>
    </c:title>
    <c:autoTitleDeleted val="0"/>
    <c:plotArea>
      <c:layout/>
      <c:doughnutChart>
        <c:varyColors val="1"/>
        <c:ser>
          <c:idx val="0"/>
          <c:order val="0"/>
          <c:tx>
            <c:strRef>
              <c:f>EduWand!$AF$2</c:f>
              <c:strCache>
                <c:ptCount val="1"/>
                <c:pt idx="0">
                  <c:v>Time with Eduwand</c:v>
                </c:pt>
              </c:strCache>
            </c:strRef>
          </c:tx>
          <c:spPr>
            <a:solidFill>
              <a:srgbClr val="7C4DFF"/>
            </a:solidFill>
            <a:ln w="3175"/>
          </c:spPr>
          <c:dPt>
            <c:idx val="0"/>
            <c:bubble3D val="0"/>
            <c:spPr>
              <a:solidFill>
                <a:srgbClr val="7C4DFF"/>
              </a:solidFill>
              <a:ln w="3175">
                <a:solidFill>
                  <a:schemeClr val="lt1"/>
                </a:solidFill>
              </a:ln>
              <a:effectLst/>
            </c:spPr>
            <c:extLst>
              <c:ext xmlns:c16="http://schemas.microsoft.com/office/drawing/2014/chart" uri="{C3380CC4-5D6E-409C-BE32-E72D297353CC}">
                <c16:uniqueId val="{0000000B-1A92-EA46-8CBE-73EF0C0B1666}"/>
              </c:ext>
            </c:extLst>
          </c:dPt>
          <c:dPt>
            <c:idx val="1"/>
            <c:bubble3D val="0"/>
            <c:spPr>
              <a:solidFill>
                <a:srgbClr val="130F17"/>
              </a:solidFill>
              <a:ln w="3175">
                <a:solidFill>
                  <a:schemeClr val="lt1"/>
                </a:solidFill>
              </a:ln>
              <a:effectLst/>
            </c:spPr>
            <c:extLst>
              <c:ext xmlns:c16="http://schemas.microsoft.com/office/drawing/2014/chart" uri="{C3380CC4-5D6E-409C-BE32-E72D297353CC}">
                <c16:uniqueId val="{0000000C-1A92-EA46-8CBE-73EF0C0B1666}"/>
              </c:ext>
            </c:extLst>
          </c:dPt>
          <c:dPt>
            <c:idx val="2"/>
            <c:bubble3D val="0"/>
            <c:spPr>
              <a:solidFill>
                <a:srgbClr val="4E47E6"/>
              </a:solidFill>
              <a:ln w="3175">
                <a:solidFill>
                  <a:schemeClr val="lt1"/>
                </a:solidFill>
              </a:ln>
              <a:effectLst/>
            </c:spPr>
            <c:extLst>
              <c:ext xmlns:c16="http://schemas.microsoft.com/office/drawing/2014/chart" uri="{C3380CC4-5D6E-409C-BE32-E72D297353CC}">
                <c16:uniqueId val="{0000000A-1A92-EA46-8CBE-73EF0C0B1666}"/>
              </c:ext>
            </c:extLst>
          </c:dPt>
          <c:dLbls>
            <c:dLbl>
              <c:idx val="0"/>
              <c:layout>
                <c:manualLayout>
                  <c:x val="0.12798400221879833"/>
                  <c:y val="-7.8144086982802147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A92-EA46-8CBE-73EF0C0B1666}"/>
                </c:ext>
              </c:extLst>
            </c:dLbl>
            <c:dLbl>
              <c:idx val="1"/>
              <c:layout>
                <c:manualLayout>
                  <c:x val="0.2194091466625403"/>
                  <c:y val="7.583875624648021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130F17"/>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4700832089153899"/>
                      <c:h val="0.23860825176712222"/>
                    </c:manualLayout>
                  </c15:layout>
                </c:ext>
                <c:ext xmlns:c16="http://schemas.microsoft.com/office/drawing/2014/chart" uri="{C3380CC4-5D6E-409C-BE32-E72D297353CC}">
                  <c16:uniqueId val="{0000000C-1A92-EA46-8CBE-73EF0C0B1666}"/>
                </c:ext>
              </c:extLst>
            </c:dLbl>
            <c:dLbl>
              <c:idx val="2"/>
              <c:layout>
                <c:manualLayout>
                  <c:x val="-0.17806469873919764"/>
                  <c:y val="-0.17007830696256937"/>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A-1A92-EA46-8CBE-73EF0C0B166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30F17"/>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EduWand!$AD$3:$AD$5</c:f>
              <c:strCache>
                <c:ptCount val="3"/>
                <c:pt idx="0">
                  <c:v>Administration</c:v>
                </c:pt>
                <c:pt idx="1">
                  <c:v>Class Planning/Grading</c:v>
                </c:pt>
                <c:pt idx="2">
                  <c:v>Teaching</c:v>
                </c:pt>
              </c:strCache>
            </c:strRef>
          </c:cat>
          <c:val>
            <c:numRef>
              <c:f>EduWand!$AF$3:$AF$5</c:f>
              <c:numCache>
                <c:formatCode>0\ "hours"</c:formatCode>
                <c:ptCount val="3"/>
                <c:pt idx="0">
                  <c:v>30.1</c:v>
                </c:pt>
                <c:pt idx="1">
                  <c:v>7.4836111111111121</c:v>
                </c:pt>
                <c:pt idx="2">
                  <c:v>96.25</c:v>
                </c:pt>
              </c:numCache>
            </c:numRef>
          </c:val>
          <c:extLst>
            <c:ext xmlns:c16="http://schemas.microsoft.com/office/drawing/2014/chart" uri="{C3380CC4-5D6E-409C-BE32-E72D297353CC}">
              <c16:uniqueId val="{00000000-1A92-EA46-8CBE-73EF0C0B1666}"/>
            </c:ext>
          </c:extLst>
        </c:ser>
        <c:dLbls>
          <c:showLegendKey val="0"/>
          <c:showVal val="1"/>
          <c:showCatName val="0"/>
          <c:showSerName val="0"/>
          <c:showPercent val="0"/>
          <c:showBubbleSize val="0"/>
          <c:showLeaderLines val="1"/>
        </c:dLbls>
        <c:firstSliceAng val="0"/>
        <c:holeSize val="67"/>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30F17"/>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solidFill>
            <a:srgbClr val="130F17"/>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35</xdr:col>
      <xdr:colOff>708303</xdr:colOff>
      <xdr:row>1</xdr:row>
      <xdr:rowOff>11869</xdr:rowOff>
    </xdr:from>
    <xdr:to>
      <xdr:col>41</xdr:col>
      <xdr:colOff>287889</xdr:colOff>
      <xdr:row>3</xdr:row>
      <xdr:rowOff>531443</xdr:rowOff>
    </xdr:to>
    <xdr:graphicFrame macro="">
      <xdr:nvGraphicFramePr>
        <xdr:cNvPr id="4" name="Chart 3">
          <a:extLst>
            <a:ext uri="{FF2B5EF4-FFF2-40B4-BE49-F238E27FC236}">
              <a16:creationId xmlns:a16="http://schemas.microsoft.com/office/drawing/2014/main" id="{AEC5C596-E71B-E1B7-CB9A-CC133147E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777850</xdr:colOff>
      <xdr:row>1</xdr:row>
      <xdr:rowOff>80686</xdr:rowOff>
    </xdr:from>
    <xdr:to>
      <xdr:col>46</xdr:col>
      <xdr:colOff>357437</xdr:colOff>
      <xdr:row>3</xdr:row>
      <xdr:rowOff>591029</xdr:rowOff>
    </xdr:to>
    <xdr:graphicFrame macro="">
      <xdr:nvGraphicFramePr>
        <xdr:cNvPr id="5" name="Chart 4">
          <a:extLst>
            <a:ext uri="{FF2B5EF4-FFF2-40B4-BE49-F238E27FC236}">
              <a16:creationId xmlns:a16="http://schemas.microsoft.com/office/drawing/2014/main" id="{73225D5D-258D-B14D-9E51-97D5C0EA5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29</xdr:col>
      <xdr:colOff>747757</xdr:colOff>
      <xdr:row>6</xdr:row>
      <xdr:rowOff>747756</xdr:rowOff>
    </xdr:from>
    <xdr:to>
      <xdr:col>36</xdr:col>
      <xdr:colOff>354176</xdr:colOff>
      <xdr:row>10</xdr:row>
      <xdr:rowOff>80026</xdr:rowOff>
    </xdr:to>
    <xdr:pic>
      <xdr:nvPicPr>
        <xdr:cNvPr id="6" name="Picture 5">
          <a:extLst>
            <a:ext uri="{FF2B5EF4-FFF2-40B4-BE49-F238E27FC236}">
              <a16:creationId xmlns:a16="http://schemas.microsoft.com/office/drawing/2014/main" id="{12339121-1442-601E-0BF4-34745DA053BF}"/>
            </a:ext>
          </a:extLst>
        </xdr:cNvPr>
        <xdr:cNvPicPr>
          <a:picLocks noChangeAspect="1"/>
        </xdr:cNvPicPr>
      </xdr:nvPicPr>
      <xdr:blipFill>
        <a:blip xmlns:r="http://schemas.openxmlformats.org/officeDocument/2006/relationships" r:embed="rId3"/>
        <a:stretch>
          <a:fillRect/>
        </a:stretch>
      </xdr:blipFill>
      <xdr:spPr>
        <a:xfrm>
          <a:off x="56912617" y="5566635"/>
          <a:ext cx="7772400" cy="279806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elvyn Brodie" id="{1EB8D197-C8DC-094E-B199-A7D7454F110A}" userId="22d05697690a787f"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E3" dT="2026-07-15T09:32:30.88" personId="{1EB8D197-C8DC-094E-B199-A7D7454F110A}" id="{C3AC2111-96B2-174D-B229-A59063431F6B}">
    <text>Daily</text>
  </threadedComment>
  <threadedComment ref="K3" dT="2026-07-15T10:08:15.95" personId="{1EB8D197-C8DC-094E-B199-A7D7454F110A}" id="{EAB840FD-543C-4A48-9275-0C6AD38C1C83}">
    <text>Averaged our considering the high usage during exams</text>
  </threadedComment>
  <threadedComment ref="K5" dT="2026-07-15T10:08:15.95" personId="{1EB8D197-C8DC-094E-B199-A7D7454F110A}" id="{597F0970-9F97-A741-8B6E-64C80B28C93D}">
    <text>Averaged our considering the high usage during exams</text>
  </threadedComment>
  <threadedComment ref="K6" dT="2026-07-15T10:08:15.95" personId="{1EB8D197-C8DC-094E-B199-A7D7454F110A}" id="{AC38AC20-A545-4D43-BB60-3852D4593B0C}">
    <text>Averaged our considering the high usage during exams</text>
  </threadedComment>
  <threadedComment ref="E8" dT="2026-07-15T09:32:30.88" personId="{1EB8D197-C8DC-094E-B199-A7D7454F110A}" id="{37B45629-DE87-BE46-BCC9-7F87D06138E5}">
    <text>Daily</text>
  </threadedComment>
  <threadedComment ref="E10" dT="2026-07-15T09:32:30.88" personId="{1EB8D197-C8DC-094E-B199-A7D7454F110A}" id="{8E9B445A-0321-EF4E-AC34-DC881CD2A589}">
    <text>Daily</text>
  </threadedComment>
  <threadedComment ref="D13" dT="2026-07-15T16:23:48.55" personId="{1EB8D197-C8DC-094E-B199-A7D7454F110A}" id="{82601502-578B-6644-9ACC-82DF42FE6443}">
    <text>Assumed for a group of students at a time</text>
  </threadedComment>
</ThreadedComments>
</file>

<file path=xl/threadedComments/threadedComment2.xml><?xml version="1.0" encoding="utf-8"?>
<ThreadedComments xmlns="http://schemas.microsoft.com/office/spreadsheetml/2018/threadedcomments" xmlns:x="http://schemas.openxmlformats.org/spreadsheetml/2006/main">
  <threadedComment ref="R3" dT="2026-07-15T17:18:22.46" personId="{1EB8D197-C8DC-094E-B199-A7D7454F110A}" id="{21A53C81-5619-8F42-9410-1ADAA1A3336D}">
    <text>We expect the student to continue using AI, only in a different manner</text>
  </threadedComment>
  <threadedComment ref="G5" dT="2026-07-15T18:20:19.97" personId="{1EB8D197-C8DC-094E-B199-A7D7454F110A}" id="{BC57BBE1-2DC0-3248-8458-92A8853DBF13}">
    <text>not even comparing the time it would take an educator to create custom assignments for 30 kids!!!</text>
  </threadedComment>
  <threadedComment ref="E11" dT="2026-07-15T15:24:49.00" personId="{1EB8D197-C8DC-094E-B199-A7D7454F110A}" id="{B6DF5C60-1D3D-9C47-B62C-203B2C143151}">
    <text>Educators have more time to teach in the class.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35704A0-0105-A045-B727-6F83B09A8A99}">
  <we:reference id="wa200009404" version="1.0.0.8" store="en-US" storeType="OMEX"/>
  <we:alternateReferences>
    <we:reference id="wa200009404" version="1.0.0.8" store="en-US" storeType="OMEX"/>
  </we:alternateReferences>
  <we:properties>
    <we:property name="claude.fileId" value="&quot;780957f6-3b8a-48e8-b910-2fc7eacce34c&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404DF-9AB8-204A-94A9-E37419DF595E}">
  <dimension ref="A1:F8"/>
  <sheetViews>
    <sheetView showGridLines="0" workbookViewId="0"/>
  </sheetViews>
  <sheetFormatPr baseColWidth="10" defaultRowHeight="16" x14ac:dyDescent="0.2"/>
  <sheetData>
    <row r="1" spans="1:6" x14ac:dyDescent="0.2">
      <c r="A1" s="66" t="s">
        <v>121</v>
      </c>
      <c r="B1" s="66" t="s">
        <v>122</v>
      </c>
      <c r="C1" s="66" t="s">
        <v>123</v>
      </c>
      <c r="D1" s="66" t="s">
        <v>124</v>
      </c>
      <c r="E1" s="66" t="s">
        <v>125</v>
      </c>
      <c r="F1" s="66" t="s">
        <v>126</v>
      </c>
    </row>
    <row r="2" spans="1:6" x14ac:dyDescent="0.2">
      <c r="A2">
        <v>1</v>
      </c>
      <c r="B2" s="168">
        <v>46227</v>
      </c>
      <c r="C2" t="s">
        <v>127</v>
      </c>
      <c r="D2" t="s">
        <v>128</v>
      </c>
      <c r="E2" t="s">
        <v>129</v>
      </c>
      <c r="F2" t="s">
        <v>130</v>
      </c>
    </row>
    <row r="3" spans="1:6" x14ac:dyDescent="0.2">
      <c r="A3" s="13">
        <v>2</v>
      </c>
      <c r="B3" s="168">
        <v>46227</v>
      </c>
      <c r="C3" t="s">
        <v>131</v>
      </c>
      <c r="D3" t="s">
        <v>132</v>
      </c>
      <c r="E3" t="s">
        <v>133</v>
      </c>
      <c r="F3" t="s">
        <v>134</v>
      </c>
    </row>
    <row r="4" spans="1:6" x14ac:dyDescent="0.2">
      <c r="A4" s="13">
        <v>3</v>
      </c>
      <c r="B4" s="168">
        <v>46227</v>
      </c>
      <c r="C4" t="s">
        <v>135</v>
      </c>
      <c r="D4" t="s">
        <v>136</v>
      </c>
      <c r="E4" t="s">
        <v>137</v>
      </c>
      <c r="F4" t="s">
        <v>138</v>
      </c>
    </row>
    <row r="5" spans="1:6" x14ac:dyDescent="0.2">
      <c r="A5" s="13">
        <v>4</v>
      </c>
      <c r="B5" s="168">
        <v>46227</v>
      </c>
      <c r="C5" t="s">
        <v>392</v>
      </c>
      <c r="D5" t="s">
        <v>393</v>
      </c>
      <c r="E5" t="s">
        <v>394</v>
      </c>
      <c r="F5" t="s">
        <v>395</v>
      </c>
    </row>
    <row r="6" spans="1:6" x14ac:dyDescent="0.2">
      <c r="A6" s="13">
        <v>5</v>
      </c>
      <c r="B6" s="168">
        <v>46227</v>
      </c>
      <c r="C6" t="s">
        <v>455</v>
      </c>
      <c r="D6" t="s">
        <v>456</v>
      </c>
      <c r="E6" t="s">
        <v>457</v>
      </c>
      <c r="F6" t="s">
        <v>458</v>
      </c>
    </row>
    <row r="7" spans="1:6" x14ac:dyDescent="0.2">
      <c r="A7" s="13">
        <v>7</v>
      </c>
      <c r="B7" s="168">
        <v>46228</v>
      </c>
      <c r="C7" t="s">
        <v>459</v>
      </c>
      <c r="D7" t="s">
        <v>460</v>
      </c>
      <c r="E7" t="s">
        <v>461</v>
      </c>
      <c r="F7" t="s">
        <v>462</v>
      </c>
    </row>
    <row r="8" spans="1:6" x14ac:dyDescent="0.2">
      <c r="A8" s="13">
        <v>8</v>
      </c>
      <c r="B8" s="168">
        <v>46228</v>
      </c>
      <c r="C8" t="s">
        <v>547</v>
      </c>
      <c r="D8" t="s">
        <v>548</v>
      </c>
      <c r="E8" t="s">
        <v>549</v>
      </c>
      <c r="F8" t="s">
        <v>550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3D7A-5C76-6C42-B4D0-E374BC4633A3}">
  <dimension ref="A1:H420"/>
  <sheetViews>
    <sheetView showGridLines="0" tabSelected="1" workbookViewId="0"/>
  </sheetViews>
  <sheetFormatPr baseColWidth="10" defaultRowHeight="16" x14ac:dyDescent="0.2"/>
  <cols>
    <col min="1" max="1" width="4" customWidth="1"/>
    <col min="2" max="2" width="25" customWidth="1"/>
    <col min="3" max="7" width="17.5" customWidth="1"/>
    <col min="8" max="8" width="20" customWidth="1"/>
  </cols>
  <sheetData>
    <row r="1" spans="1:8" ht="6" customHeight="1" x14ac:dyDescent="0.2">
      <c r="A1" s="67"/>
      <c r="B1" s="67"/>
      <c r="C1" s="67"/>
      <c r="D1" s="67"/>
      <c r="E1" s="67"/>
      <c r="F1" s="67"/>
      <c r="G1" s="67"/>
      <c r="H1" s="67"/>
    </row>
    <row r="2" spans="1:8" ht="26" customHeight="1" x14ac:dyDescent="0.3">
      <c r="A2" s="67"/>
      <c r="B2" s="165" t="s">
        <v>139</v>
      </c>
      <c r="C2" s="116"/>
      <c r="D2" s="116"/>
      <c r="E2" s="116"/>
      <c r="F2" s="116"/>
      <c r="G2" s="116"/>
      <c r="H2" s="116"/>
    </row>
    <row r="3" spans="1:8" x14ac:dyDescent="0.2">
      <c r="A3" s="67"/>
      <c r="B3" s="166" t="s">
        <v>397</v>
      </c>
      <c r="C3" s="116"/>
      <c r="D3" s="116"/>
      <c r="E3" s="116"/>
      <c r="F3" s="116"/>
      <c r="G3" s="116"/>
      <c r="H3" s="116"/>
    </row>
    <row r="4" spans="1:8" x14ac:dyDescent="0.2">
      <c r="A4" s="67"/>
      <c r="B4" s="67"/>
      <c r="C4" s="67"/>
      <c r="D4" s="67"/>
      <c r="E4" s="67"/>
      <c r="F4" s="67"/>
      <c r="G4" s="67"/>
      <c r="H4" s="67"/>
    </row>
    <row r="5" spans="1:8" ht="20" customHeight="1" x14ac:dyDescent="0.2">
      <c r="A5" s="67"/>
      <c r="B5" s="122" t="s">
        <v>140</v>
      </c>
      <c r="C5" s="116"/>
      <c r="D5" s="116"/>
      <c r="E5" s="116"/>
      <c r="F5" s="116"/>
      <c r="G5" s="116"/>
      <c r="H5" s="116"/>
    </row>
    <row r="6" spans="1:8" x14ac:dyDescent="0.2">
      <c r="A6" s="67"/>
      <c r="B6" s="68" t="s">
        <v>141</v>
      </c>
      <c r="C6" s="161" t="s">
        <v>139</v>
      </c>
      <c r="D6" s="116"/>
      <c r="E6" s="116"/>
      <c r="F6" s="116"/>
      <c r="G6" s="116"/>
      <c r="H6" s="116"/>
    </row>
    <row r="7" spans="1:8" x14ac:dyDescent="0.2">
      <c r="A7" s="67"/>
      <c r="B7" s="70" t="s">
        <v>142</v>
      </c>
      <c r="C7" s="201" t="s">
        <v>560</v>
      </c>
      <c r="D7" s="202"/>
      <c r="E7" s="202"/>
      <c r="F7" s="202"/>
      <c r="G7" s="202"/>
      <c r="H7" s="202"/>
    </row>
    <row r="8" spans="1:8" x14ac:dyDescent="0.2">
      <c r="A8" s="67"/>
      <c r="B8" s="70" t="s">
        <v>122</v>
      </c>
      <c r="C8" s="176">
        <v>46229</v>
      </c>
      <c r="D8" s="167"/>
      <c r="E8" s="167"/>
      <c r="F8" s="167"/>
      <c r="G8" s="167"/>
      <c r="H8" s="167"/>
    </row>
    <row r="9" spans="1:8" x14ac:dyDescent="0.2">
      <c r="A9" s="67"/>
      <c r="B9" s="70" t="s">
        <v>143</v>
      </c>
      <c r="C9" s="164" t="s">
        <v>144</v>
      </c>
      <c r="D9" s="120"/>
      <c r="E9" s="120"/>
      <c r="F9" s="120"/>
      <c r="G9" s="120"/>
      <c r="H9" s="120"/>
    </row>
    <row r="10" spans="1:8" x14ac:dyDescent="0.2">
      <c r="A10" s="67"/>
      <c r="B10" s="70" t="s">
        <v>145</v>
      </c>
      <c r="C10" s="164" t="s">
        <v>146</v>
      </c>
      <c r="D10" s="120"/>
      <c r="E10" s="120"/>
      <c r="F10" s="120"/>
      <c r="G10" s="120"/>
      <c r="H10" s="120"/>
    </row>
    <row r="11" spans="1:8" x14ac:dyDescent="0.2">
      <c r="A11" s="67"/>
      <c r="B11" s="70" t="s">
        <v>147</v>
      </c>
      <c r="C11" s="164" t="s">
        <v>148</v>
      </c>
      <c r="D11" s="120"/>
      <c r="E11" s="120"/>
      <c r="F11" s="120"/>
      <c r="G11" s="120"/>
      <c r="H11" s="120"/>
    </row>
    <row r="12" spans="1:8" x14ac:dyDescent="0.2">
      <c r="A12" s="67"/>
      <c r="B12" s="70" t="s">
        <v>149</v>
      </c>
      <c r="C12" s="164" t="s">
        <v>150</v>
      </c>
      <c r="D12" s="120"/>
      <c r="E12" s="120"/>
      <c r="F12" s="120"/>
      <c r="G12" s="120"/>
      <c r="H12" s="120"/>
    </row>
    <row r="13" spans="1:8" x14ac:dyDescent="0.2">
      <c r="A13" s="67"/>
      <c r="B13" s="70" t="s">
        <v>151</v>
      </c>
      <c r="C13" s="201" t="s">
        <v>561</v>
      </c>
      <c r="D13" s="202"/>
      <c r="E13" s="202"/>
      <c r="F13" s="202"/>
      <c r="G13" s="202"/>
      <c r="H13" s="202"/>
    </row>
    <row r="14" spans="1:8" x14ac:dyDescent="0.2">
      <c r="A14" s="67"/>
      <c r="B14" s="69" t="s">
        <v>152</v>
      </c>
      <c r="C14" s="162" t="s">
        <v>466</v>
      </c>
      <c r="D14" s="112"/>
      <c r="E14" s="112"/>
      <c r="F14" s="112"/>
      <c r="G14" s="112"/>
      <c r="H14" s="112"/>
    </row>
    <row r="15" spans="1:8" x14ac:dyDescent="0.2">
      <c r="A15" s="67"/>
      <c r="B15" s="67"/>
      <c r="C15" s="67"/>
      <c r="D15" s="67"/>
      <c r="E15" s="67"/>
      <c r="F15" s="67"/>
      <c r="G15" s="67"/>
      <c r="H15" s="67"/>
    </row>
    <row r="16" spans="1:8" ht="20" customHeight="1" x14ac:dyDescent="0.2">
      <c r="A16" s="67"/>
      <c r="B16" s="122" t="s">
        <v>153</v>
      </c>
      <c r="C16" s="116"/>
      <c r="D16" s="116"/>
      <c r="E16" s="116"/>
      <c r="F16" s="116"/>
      <c r="G16" s="116"/>
      <c r="H16" s="116"/>
    </row>
    <row r="17" spans="1:8" ht="42" customHeight="1" x14ac:dyDescent="0.2">
      <c r="A17" s="67"/>
      <c r="B17" s="68" t="s">
        <v>154</v>
      </c>
      <c r="C17" s="161" t="s">
        <v>553</v>
      </c>
      <c r="D17" s="161"/>
      <c r="E17" s="161"/>
      <c r="F17" s="161"/>
      <c r="G17" s="161"/>
      <c r="H17" s="161"/>
    </row>
    <row r="18" spans="1:8" ht="150" customHeight="1" x14ac:dyDescent="0.2">
      <c r="A18" s="67"/>
      <c r="B18" s="69" t="s">
        <v>155</v>
      </c>
      <c r="C18" s="162" t="s">
        <v>557</v>
      </c>
      <c r="D18" s="112"/>
      <c r="E18" s="112"/>
      <c r="F18" s="112"/>
      <c r="G18" s="112"/>
      <c r="H18" s="112"/>
    </row>
    <row r="19" spans="1:8" x14ac:dyDescent="0.2">
      <c r="A19" s="67"/>
      <c r="B19" s="67"/>
      <c r="C19" s="67"/>
      <c r="D19" s="67"/>
      <c r="E19" s="67"/>
      <c r="F19" s="67"/>
      <c r="G19" s="67"/>
      <c r="H19" s="67"/>
    </row>
    <row r="20" spans="1:8" x14ac:dyDescent="0.2">
      <c r="A20" s="67"/>
      <c r="B20" s="163" t="s">
        <v>156</v>
      </c>
      <c r="C20" s="116"/>
      <c r="D20" s="116"/>
      <c r="E20" s="116"/>
      <c r="F20" s="116"/>
      <c r="G20" s="116"/>
      <c r="H20" s="116"/>
    </row>
    <row r="21" spans="1:8" x14ac:dyDescent="0.2">
      <c r="A21" s="67"/>
      <c r="B21" s="73" t="s">
        <v>157</v>
      </c>
      <c r="C21" s="73" t="s">
        <v>158</v>
      </c>
      <c r="D21" s="160" t="s">
        <v>159</v>
      </c>
      <c r="E21" s="160"/>
      <c r="F21" s="160"/>
      <c r="G21" s="160"/>
      <c r="H21" s="160"/>
    </row>
    <row r="22" spans="1:8" ht="30" x14ac:dyDescent="0.2">
      <c r="A22" s="67"/>
      <c r="B22" s="71" t="s">
        <v>467</v>
      </c>
      <c r="C22" s="177">
        <f>EduWand!I23</f>
        <v>51.586388888888905</v>
      </c>
      <c r="D22" s="158" t="s">
        <v>469</v>
      </c>
      <c r="E22" s="159"/>
      <c r="F22" s="159"/>
      <c r="G22" s="159"/>
      <c r="H22" s="159"/>
    </row>
    <row r="23" spans="1:8" ht="30" x14ac:dyDescent="0.2">
      <c r="A23" s="67"/>
      <c r="B23" s="71" t="s">
        <v>468</v>
      </c>
      <c r="C23" s="178">
        <f>EduWand!I21</f>
        <v>0.28591606492844357</v>
      </c>
      <c r="D23" s="158" t="s">
        <v>470</v>
      </c>
      <c r="E23" s="159"/>
      <c r="F23" s="159"/>
      <c r="G23" s="159"/>
      <c r="H23" s="159"/>
    </row>
    <row r="24" spans="1:8" x14ac:dyDescent="0.2">
      <c r="A24" s="67"/>
      <c r="B24" s="71" t="s">
        <v>398</v>
      </c>
      <c r="C24" s="94" t="s">
        <v>399</v>
      </c>
      <c r="D24" s="158" t="s">
        <v>400</v>
      </c>
      <c r="E24" s="159"/>
      <c r="F24" s="159"/>
      <c r="G24" s="159"/>
      <c r="H24" s="159"/>
    </row>
    <row r="25" spans="1:8" ht="30" x14ac:dyDescent="0.2">
      <c r="A25" s="67"/>
      <c r="B25" s="72" t="s">
        <v>160</v>
      </c>
      <c r="C25" s="74" t="s">
        <v>161</v>
      </c>
      <c r="D25" s="156" t="s">
        <v>162</v>
      </c>
      <c r="E25" s="157"/>
      <c r="F25" s="157"/>
      <c r="G25" s="157"/>
      <c r="H25" s="157"/>
    </row>
    <row r="26" spans="1:8" x14ac:dyDescent="0.2">
      <c r="A26" s="67"/>
      <c r="B26" s="67"/>
      <c r="C26" s="67"/>
      <c r="D26" s="67"/>
      <c r="E26" s="67"/>
      <c r="F26" s="67"/>
      <c r="G26" s="67"/>
      <c r="H26" s="67"/>
    </row>
    <row r="27" spans="1:8" ht="20" customHeight="1" x14ac:dyDescent="0.2">
      <c r="A27" s="67"/>
      <c r="B27" s="122" t="s">
        <v>163</v>
      </c>
      <c r="C27" s="116"/>
      <c r="D27" s="116"/>
      <c r="E27" s="116"/>
      <c r="F27" s="116"/>
      <c r="G27" s="116"/>
      <c r="H27" s="116"/>
    </row>
    <row r="28" spans="1:8" ht="42" customHeight="1" x14ac:dyDescent="0.2">
      <c r="A28" s="67"/>
      <c r="B28" s="129" t="s">
        <v>164</v>
      </c>
      <c r="C28" s="116"/>
      <c r="D28" s="116"/>
      <c r="E28" s="116"/>
      <c r="F28" s="116"/>
      <c r="G28" s="116"/>
      <c r="H28" s="116"/>
    </row>
    <row r="29" spans="1:8" x14ac:dyDescent="0.2">
      <c r="A29" s="67"/>
      <c r="B29" s="78" t="s">
        <v>165</v>
      </c>
      <c r="C29" s="130" t="s">
        <v>166</v>
      </c>
      <c r="D29" s="130"/>
      <c r="E29" s="130"/>
      <c r="F29" s="130"/>
      <c r="G29" s="130" t="s">
        <v>167</v>
      </c>
      <c r="H29" s="131"/>
    </row>
    <row r="30" spans="1:8" ht="54" customHeight="1" x14ac:dyDescent="0.2">
      <c r="A30" s="67"/>
      <c r="B30" s="75" t="s">
        <v>0</v>
      </c>
      <c r="C30" s="153" t="s">
        <v>168</v>
      </c>
      <c r="D30" s="195"/>
      <c r="E30" s="195"/>
      <c r="F30" s="195"/>
      <c r="G30" s="196" t="s">
        <v>169</v>
      </c>
      <c r="H30" s="197"/>
    </row>
    <row r="31" spans="1:8" ht="54" customHeight="1" x14ac:dyDescent="0.2">
      <c r="A31" s="67"/>
      <c r="B31" s="75" t="s">
        <v>1</v>
      </c>
      <c r="C31" s="153" t="s">
        <v>170</v>
      </c>
      <c r="D31" s="195"/>
      <c r="E31" s="195"/>
      <c r="F31" s="195"/>
      <c r="G31" s="196" t="s">
        <v>171</v>
      </c>
      <c r="H31" s="197"/>
    </row>
    <row r="32" spans="1:8" ht="54" customHeight="1" x14ac:dyDescent="0.2">
      <c r="A32" s="67"/>
      <c r="B32" s="75" t="s">
        <v>6</v>
      </c>
      <c r="C32" s="153" t="s">
        <v>172</v>
      </c>
      <c r="D32" s="195"/>
      <c r="E32" s="195"/>
      <c r="F32" s="195"/>
      <c r="G32" s="196" t="s">
        <v>173</v>
      </c>
      <c r="H32" s="197"/>
    </row>
    <row r="33" spans="1:8" ht="54" customHeight="1" x14ac:dyDescent="0.2">
      <c r="A33" s="67"/>
      <c r="B33" s="75" t="s">
        <v>174</v>
      </c>
      <c r="C33" s="153" t="s">
        <v>175</v>
      </c>
      <c r="D33" s="153"/>
      <c r="E33" s="153"/>
      <c r="F33" s="153"/>
      <c r="G33" s="196" t="s">
        <v>176</v>
      </c>
      <c r="H33" s="198"/>
    </row>
    <row r="34" spans="1:8" ht="54" customHeight="1" x14ac:dyDescent="0.2">
      <c r="A34" s="67"/>
      <c r="B34" s="77" t="s">
        <v>177</v>
      </c>
      <c r="C34" s="151" t="s">
        <v>178</v>
      </c>
      <c r="D34" s="151"/>
      <c r="E34" s="151"/>
      <c r="F34" s="151"/>
      <c r="G34" s="199" t="s">
        <v>179</v>
      </c>
      <c r="H34" s="200"/>
    </row>
    <row r="35" spans="1:8" x14ac:dyDescent="0.2">
      <c r="A35" s="67"/>
      <c r="B35" s="67"/>
      <c r="C35" s="67"/>
      <c r="D35" s="67"/>
      <c r="E35" s="67"/>
      <c r="F35" s="67"/>
      <c r="G35" s="67"/>
      <c r="H35" s="67"/>
    </row>
    <row r="36" spans="1:8" ht="20" customHeight="1" x14ac:dyDescent="0.2">
      <c r="A36" s="67"/>
      <c r="B36" s="122" t="s">
        <v>180</v>
      </c>
      <c r="C36" s="116"/>
      <c r="D36" s="116"/>
      <c r="E36" s="116"/>
      <c r="F36" s="116"/>
      <c r="G36" s="116"/>
      <c r="H36" s="116"/>
    </row>
    <row r="37" spans="1:8" ht="132" customHeight="1" x14ac:dyDescent="0.2">
      <c r="A37" s="67"/>
      <c r="B37" s="68" t="s">
        <v>181</v>
      </c>
      <c r="C37" s="118" t="s">
        <v>474</v>
      </c>
      <c r="D37" s="116"/>
      <c r="E37" s="116"/>
      <c r="F37" s="116"/>
      <c r="G37" s="116"/>
      <c r="H37" s="116"/>
    </row>
    <row r="38" spans="1:8" ht="116" customHeight="1" x14ac:dyDescent="0.2">
      <c r="A38" s="67"/>
      <c r="B38" s="69" t="s">
        <v>182</v>
      </c>
      <c r="C38" s="121" t="s">
        <v>475</v>
      </c>
      <c r="D38" s="112"/>
      <c r="E38" s="112"/>
      <c r="F38" s="112"/>
      <c r="G38" s="112"/>
      <c r="H38" s="112"/>
    </row>
    <row r="39" spans="1:8" x14ac:dyDescent="0.2">
      <c r="A39" s="67"/>
      <c r="B39" s="67"/>
      <c r="C39" s="67"/>
      <c r="D39" s="67"/>
      <c r="E39" s="67"/>
      <c r="F39" s="67"/>
      <c r="G39" s="67"/>
      <c r="H39" s="67"/>
    </row>
    <row r="40" spans="1:8" ht="20" customHeight="1" x14ac:dyDescent="0.2">
      <c r="A40" s="67"/>
      <c r="B40" s="122" t="s">
        <v>183</v>
      </c>
      <c r="C40" s="116"/>
      <c r="D40" s="116"/>
      <c r="E40" s="116"/>
      <c r="F40" s="116"/>
      <c r="G40" s="116"/>
      <c r="H40" s="116"/>
    </row>
    <row r="41" spans="1:8" x14ac:dyDescent="0.2">
      <c r="A41" s="67"/>
      <c r="B41" s="82" t="s">
        <v>184</v>
      </c>
      <c r="C41" s="154" t="s">
        <v>181</v>
      </c>
      <c r="D41" s="154"/>
      <c r="E41" s="154" t="s">
        <v>185</v>
      </c>
      <c r="F41" s="154"/>
      <c r="G41" s="154" t="s">
        <v>186</v>
      </c>
      <c r="H41" s="155"/>
    </row>
    <row r="42" spans="1:8" ht="76" customHeight="1" x14ac:dyDescent="0.2">
      <c r="A42" s="67"/>
      <c r="B42" s="80" t="s">
        <v>187</v>
      </c>
      <c r="C42" s="153" t="s">
        <v>188</v>
      </c>
      <c r="D42" s="113"/>
      <c r="E42" s="153" t="s">
        <v>189</v>
      </c>
      <c r="F42" s="113"/>
      <c r="G42" s="153" t="s">
        <v>190</v>
      </c>
      <c r="H42" s="114"/>
    </row>
    <row r="43" spans="1:8" ht="76" customHeight="1" x14ac:dyDescent="0.2">
      <c r="A43" s="67"/>
      <c r="B43" s="80" t="s">
        <v>0</v>
      </c>
      <c r="C43" s="153" t="s">
        <v>191</v>
      </c>
      <c r="D43" s="113"/>
      <c r="E43" s="153" t="s">
        <v>192</v>
      </c>
      <c r="F43" s="113"/>
      <c r="G43" s="153" t="s">
        <v>193</v>
      </c>
      <c r="H43" s="114"/>
    </row>
    <row r="44" spans="1:8" ht="76" customHeight="1" x14ac:dyDescent="0.2">
      <c r="A44" s="67"/>
      <c r="B44" s="80" t="s">
        <v>1</v>
      </c>
      <c r="C44" s="153" t="s">
        <v>194</v>
      </c>
      <c r="D44" s="113"/>
      <c r="E44" s="153" t="s">
        <v>195</v>
      </c>
      <c r="F44" s="113"/>
      <c r="G44" s="153" t="s">
        <v>196</v>
      </c>
      <c r="H44" s="114"/>
    </row>
    <row r="45" spans="1:8" ht="76" customHeight="1" x14ac:dyDescent="0.2">
      <c r="A45" s="67"/>
      <c r="B45" s="81" t="s">
        <v>6</v>
      </c>
      <c r="C45" s="151" t="s">
        <v>197</v>
      </c>
      <c r="D45" s="151"/>
      <c r="E45" s="151" t="s">
        <v>198</v>
      </c>
      <c r="F45" s="151"/>
      <c r="G45" s="151" t="s">
        <v>199</v>
      </c>
      <c r="H45" s="152"/>
    </row>
    <row r="46" spans="1:8" x14ac:dyDescent="0.2">
      <c r="A46" s="67"/>
      <c r="B46" s="67"/>
      <c r="C46" s="67"/>
      <c r="D46" s="67"/>
      <c r="E46" s="67"/>
      <c r="F46" s="67"/>
      <c r="G46" s="67"/>
      <c r="H46" s="67"/>
    </row>
    <row r="47" spans="1:8" ht="20" customHeight="1" x14ac:dyDescent="0.2">
      <c r="A47" s="67"/>
      <c r="B47" s="122" t="s">
        <v>200</v>
      </c>
      <c r="C47" s="116"/>
      <c r="D47" s="116"/>
      <c r="E47" s="116"/>
      <c r="F47" s="116"/>
      <c r="G47" s="116"/>
      <c r="H47" s="116"/>
    </row>
    <row r="48" spans="1:8" ht="56" customHeight="1" x14ac:dyDescent="0.2">
      <c r="A48" s="67"/>
      <c r="B48" s="129" t="s">
        <v>201</v>
      </c>
      <c r="C48" s="116"/>
      <c r="D48" s="116"/>
      <c r="E48" s="116"/>
      <c r="F48" s="116"/>
      <c r="G48" s="116"/>
      <c r="H48" s="116"/>
    </row>
    <row r="49" spans="1:8" x14ac:dyDescent="0.2">
      <c r="A49" s="67"/>
      <c r="B49" s="139" t="s">
        <v>202</v>
      </c>
      <c r="C49" s="116"/>
      <c r="D49" s="116"/>
      <c r="E49" s="116"/>
      <c r="F49" s="116"/>
      <c r="G49" s="116"/>
      <c r="H49" s="116"/>
    </row>
    <row r="50" spans="1:8" x14ac:dyDescent="0.2">
      <c r="A50" s="67"/>
      <c r="B50" s="78" t="s">
        <v>203</v>
      </c>
      <c r="C50" s="130" t="s">
        <v>157</v>
      </c>
      <c r="D50" s="130"/>
      <c r="E50" s="130" t="s">
        <v>204</v>
      </c>
      <c r="F50" s="130"/>
      <c r="G50" s="130" t="s">
        <v>205</v>
      </c>
      <c r="H50" s="131"/>
    </row>
    <row r="51" spans="1:8" x14ac:dyDescent="0.2">
      <c r="A51" s="67"/>
      <c r="B51" s="83" t="s">
        <v>206</v>
      </c>
      <c r="C51" s="141" t="s">
        <v>554</v>
      </c>
      <c r="D51" s="113"/>
      <c r="E51" s="103" t="s">
        <v>555</v>
      </c>
      <c r="F51" s="113"/>
      <c r="G51" s="104" t="s">
        <v>556</v>
      </c>
      <c r="H51" s="114"/>
    </row>
    <row r="52" spans="1:8" ht="28" customHeight="1" x14ac:dyDescent="0.2">
      <c r="A52" s="67"/>
      <c r="B52" s="83" t="s">
        <v>206</v>
      </c>
      <c r="C52" s="141" t="s">
        <v>471</v>
      </c>
      <c r="D52" s="113"/>
      <c r="E52" s="103" t="s">
        <v>472</v>
      </c>
      <c r="F52" s="113"/>
      <c r="G52" s="104" t="s">
        <v>473</v>
      </c>
      <c r="H52" s="114"/>
    </row>
    <row r="53" spans="1:8" ht="28" customHeight="1" x14ac:dyDescent="0.2">
      <c r="A53" s="67"/>
      <c r="B53" s="83" t="s">
        <v>207</v>
      </c>
      <c r="C53" s="141" t="s">
        <v>208</v>
      </c>
      <c r="D53" s="113"/>
      <c r="E53" s="103" t="s">
        <v>209</v>
      </c>
      <c r="F53" s="113"/>
      <c r="G53" s="104" t="s">
        <v>210</v>
      </c>
      <c r="H53" s="114"/>
    </row>
    <row r="54" spans="1:8" ht="28" customHeight="1" x14ac:dyDescent="0.2">
      <c r="A54" s="67"/>
      <c r="B54" s="83" t="s">
        <v>207</v>
      </c>
      <c r="C54" s="141" t="s">
        <v>211</v>
      </c>
      <c r="D54" s="113"/>
      <c r="E54" s="103" t="s">
        <v>212</v>
      </c>
      <c r="F54" s="113"/>
      <c r="G54" s="104" t="s">
        <v>213</v>
      </c>
      <c r="H54" s="114"/>
    </row>
    <row r="55" spans="1:8" ht="28" customHeight="1" x14ac:dyDescent="0.2">
      <c r="A55" s="67"/>
      <c r="B55" s="83" t="s">
        <v>207</v>
      </c>
      <c r="C55" s="141" t="s">
        <v>401</v>
      </c>
      <c r="D55" s="141"/>
      <c r="E55" s="103" t="s">
        <v>402</v>
      </c>
      <c r="F55" s="103"/>
      <c r="G55" s="104" t="s">
        <v>213</v>
      </c>
      <c r="H55" s="105"/>
    </row>
    <row r="56" spans="1:8" ht="28" customHeight="1" x14ac:dyDescent="0.2">
      <c r="A56" s="67"/>
      <c r="B56" s="83" t="s">
        <v>207</v>
      </c>
      <c r="C56" s="141" t="s">
        <v>214</v>
      </c>
      <c r="D56" s="141"/>
      <c r="E56" s="103" t="s">
        <v>215</v>
      </c>
      <c r="F56" s="103"/>
      <c r="G56" s="104" t="s">
        <v>216</v>
      </c>
      <c r="H56" s="105"/>
    </row>
    <row r="57" spans="1:8" ht="28" customHeight="1" x14ac:dyDescent="0.2">
      <c r="A57" s="67"/>
      <c r="B57" s="83" t="s">
        <v>207</v>
      </c>
      <c r="C57" s="141" t="s">
        <v>217</v>
      </c>
      <c r="D57" s="141"/>
      <c r="E57" s="103" t="s">
        <v>218</v>
      </c>
      <c r="F57" s="103"/>
      <c r="G57" s="104" t="s">
        <v>219</v>
      </c>
      <c r="H57" s="105"/>
    </row>
    <row r="58" spans="1:8" ht="28" customHeight="1" x14ac:dyDescent="0.2">
      <c r="A58" s="67"/>
      <c r="B58" s="83" t="s">
        <v>207</v>
      </c>
      <c r="C58" s="141" t="s">
        <v>451</v>
      </c>
      <c r="D58" s="141"/>
      <c r="E58" s="103" t="s">
        <v>452</v>
      </c>
      <c r="F58" s="103"/>
      <c r="G58" s="104" t="s">
        <v>453</v>
      </c>
      <c r="H58" s="105"/>
    </row>
    <row r="59" spans="1:8" ht="28" customHeight="1" x14ac:dyDescent="0.2">
      <c r="A59" s="67"/>
      <c r="B59" s="83" t="s">
        <v>207</v>
      </c>
      <c r="C59" s="141" t="s">
        <v>220</v>
      </c>
      <c r="D59" s="141"/>
      <c r="E59" s="103" t="s">
        <v>221</v>
      </c>
      <c r="F59" s="103"/>
      <c r="G59" s="104" t="s">
        <v>222</v>
      </c>
      <c r="H59" s="105"/>
    </row>
    <row r="60" spans="1:8" ht="28" customHeight="1" x14ac:dyDescent="0.2">
      <c r="A60" s="67"/>
      <c r="B60" s="83" t="s">
        <v>223</v>
      </c>
      <c r="C60" s="141" t="s">
        <v>224</v>
      </c>
      <c r="D60" s="141"/>
      <c r="E60" s="103" t="s">
        <v>225</v>
      </c>
      <c r="F60" s="103"/>
      <c r="G60" s="104" t="s">
        <v>226</v>
      </c>
      <c r="H60" s="105"/>
    </row>
    <row r="61" spans="1:8" ht="28" customHeight="1" x14ac:dyDescent="0.2">
      <c r="A61" s="67"/>
      <c r="B61" s="83" t="s">
        <v>223</v>
      </c>
      <c r="C61" s="141" t="s">
        <v>227</v>
      </c>
      <c r="D61" s="141"/>
      <c r="E61" s="103" t="s">
        <v>228</v>
      </c>
      <c r="F61" s="103"/>
      <c r="G61" s="104" t="s">
        <v>229</v>
      </c>
      <c r="H61" s="105"/>
    </row>
    <row r="62" spans="1:8" ht="28" customHeight="1" x14ac:dyDescent="0.2">
      <c r="A62" s="67"/>
      <c r="B62" s="84" t="s">
        <v>223</v>
      </c>
      <c r="C62" s="143" t="s">
        <v>230</v>
      </c>
      <c r="D62" s="143"/>
      <c r="E62" s="150" t="s">
        <v>231</v>
      </c>
      <c r="F62" s="150"/>
      <c r="G62" s="146" t="s">
        <v>232</v>
      </c>
      <c r="H62" s="147"/>
    </row>
    <row r="63" spans="1:8" x14ac:dyDescent="0.2">
      <c r="A63" s="67"/>
      <c r="B63" s="67"/>
      <c r="C63" s="67"/>
      <c r="D63" s="67"/>
      <c r="E63" s="67"/>
      <c r="F63" s="67"/>
      <c r="G63" s="67"/>
      <c r="H63" s="67"/>
    </row>
    <row r="64" spans="1:8" ht="20" customHeight="1" x14ac:dyDescent="0.2">
      <c r="A64" s="67"/>
      <c r="B64" s="122" t="s">
        <v>233</v>
      </c>
      <c r="C64" s="116"/>
      <c r="D64" s="116"/>
      <c r="E64" s="116"/>
      <c r="F64" s="116"/>
      <c r="G64" s="116"/>
      <c r="H64" s="116"/>
    </row>
    <row r="65" spans="1:8" ht="44" customHeight="1" x14ac:dyDescent="0.2">
      <c r="A65" s="67"/>
      <c r="B65" s="129" t="s">
        <v>403</v>
      </c>
      <c r="C65" s="116"/>
      <c r="D65" s="116"/>
      <c r="E65" s="116"/>
      <c r="F65" s="116"/>
      <c r="G65" s="116"/>
      <c r="H65" s="116"/>
    </row>
    <row r="66" spans="1:8" ht="22" customHeight="1" x14ac:dyDescent="0.2">
      <c r="A66" s="67"/>
      <c r="B66" s="117" t="s">
        <v>411</v>
      </c>
      <c r="C66" s="116"/>
      <c r="D66" s="116"/>
      <c r="E66" s="116"/>
      <c r="F66" s="116"/>
      <c r="G66" s="116"/>
      <c r="H66" s="116"/>
    </row>
    <row r="67" spans="1:8" ht="68" customHeight="1" x14ac:dyDescent="0.2">
      <c r="A67" s="67"/>
      <c r="B67" s="95" t="s">
        <v>234</v>
      </c>
      <c r="C67" s="118" t="s">
        <v>476</v>
      </c>
      <c r="D67" s="116"/>
      <c r="E67" s="116"/>
      <c r="F67" s="116"/>
      <c r="G67" s="116"/>
      <c r="H67" s="116"/>
    </row>
    <row r="68" spans="1:8" ht="128" customHeight="1" x14ac:dyDescent="0.2">
      <c r="A68" s="67"/>
      <c r="B68" s="96" t="s">
        <v>236</v>
      </c>
      <c r="C68" s="119" t="s">
        <v>412</v>
      </c>
      <c r="D68" s="120"/>
      <c r="E68" s="120"/>
      <c r="F68" s="120"/>
      <c r="G68" s="120"/>
      <c r="H68" s="120"/>
    </row>
    <row r="69" spans="1:8" ht="76" customHeight="1" x14ac:dyDescent="0.2">
      <c r="A69" s="67"/>
      <c r="B69" s="96" t="s">
        <v>237</v>
      </c>
      <c r="C69" s="119" t="s">
        <v>413</v>
      </c>
      <c r="D69" s="120"/>
      <c r="E69" s="120"/>
      <c r="F69" s="120"/>
      <c r="G69" s="120"/>
      <c r="H69" s="120"/>
    </row>
    <row r="70" spans="1:8" ht="150" customHeight="1" x14ac:dyDescent="0.2">
      <c r="A70" s="67"/>
      <c r="B70" s="96" t="s">
        <v>238</v>
      </c>
      <c r="C70" s="119" t="s">
        <v>477</v>
      </c>
      <c r="D70" s="120"/>
      <c r="E70" s="120"/>
      <c r="F70" s="120"/>
      <c r="G70" s="120"/>
      <c r="H70" s="120"/>
    </row>
    <row r="71" spans="1:8" ht="84" customHeight="1" x14ac:dyDescent="0.2">
      <c r="A71" s="67"/>
      <c r="B71" s="96" t="s">
        <v>240</v>
      </c>
      <c r="C71" s="119" t="s">
        <v>414</v>
      </c>
      <c r="D71" s="120"/>
      <c r="E71" s="120"/>
      <c r="F71" s="120"/>
      <c r="G71" s="120"/>
      <c r="H71" s="120"/>
    </row>
    <row r="72" spans="1:8" ht="76" customHeight="1" x14ac:dyDescent="0.2">
      <c r="A72" s="67"/>
      <c r="B72" s="97" t="s">
        <v>242</v>
      </c>
      <c r="C72" s="121" t="s">
        <v>415</v>
      </c>
      <c r="D72" s="112"/>
      <c r="E72" s="112"/>
      <c r="F72" s="112"/>
      <c r="G72" s="112"/>
      <c r="H72" s="112"/>
    </row>
    <row r="73" spans="1:8" ht="44" customHeight="1" x14ac:dyDescent="0.2">
      <c r="A73" s="67"/>
    </row>
    <row r="74" spans="1:8" x14ac:dyDescent="0.2">
      <c r="A74" s="67"/>
      <c r="B74" s="149" t="s">
        <v>416</v>
      </c>
      <c r="C74" s="116"/>
      <c r="D74" s="116"/>
      <c r="E74" s="116"/>
      <c r="F74" s="116"/>
      <c r="G74" s="116"/>
      <c r="H74" s="116"/>
    </row>
    <row r="75" spans="1:8" ht="64" customHeight="1" x14ac:dyDescent="0.2">
      <c r="A75" s="67"/>
      <c r="B75" s="86" t="s">
        <v>234</v>
      </c>
      <c r="C75" s="118" t="s">
        <v>235</v>
      </c>
      <c r="D75" s="116"/>
      <c r="E75" s="116"/>
      <c r="F75" s="116"/>
      <c r="G75" s="116"/>
      <c r="H75" s="116"/>
    </row>
    <row r="76" spans="1:8" ht="96" customHeight="1" x14ac:dyDescent="0.2">
      <c r="A76" s="67"/>
      <c r="B76" s="88" t="s">
        <v>236</v>
      </c>
      <c r="C76" s="119" t="s">
        <v>551</v>
      </c>
      <c r="D76" s="120"/>
      <c r="E76" s="120"/>
      <c r="F76" s="120"/>
      <c r="G76" s="120"/>
      <c r="H76" s="120"/>
    </row>
    <row r="77" spans="1:8" ht="64" customHeight="1" x14ac:dyDescent="0.2">
      <c r="A77" s="67"/>
      <c r="B77" s="88" t="s">
        <v>237</v>
      </c>
      <c r="C77" s="119" t="s">
        <v>552</v>
      </c>
      <c r="D77" s="120"/>
      <c r="E77" s="120"/>
      <c r="F77" s="120"/>
      <c r="G77" s="120"/>
      <c r="H77" s="120"/>
    </row>
    <row r="78" spans="1:8" ht="96" customHeight="1" x14ac:dyDescent="0.2">
      <c r="A78" s="67"/>
      <c r="B78" s="88" t="s">
        <v>238</v>
      </c>
      <c r="C78" s="119" t="s">
        <v>239</v>
      </c>
      <c r="D78" s="120"/>
      <c r="E78" s="120"/>
      <c r="F78" s="120"/>
      <c r="G78" s="120"/>
      <c r="H78" s="120"/>
    </row>
    <row r="79" spans="1:8" ht="88" customHeight="1" x14ac:dyDescent="0.2">
      <c r="A79" s="67"/>
      <c r="B79" s="88" t="s">
        <v>240</v>
      </c>
      <c r="C79" s="119" t="s">
        <v>241</v>
      </c>
      <c r="D79" s="120"/>
      <c r="E79" s="120"/>
      <c r="F79" s="120"/>
      <c r="G79" s="120"/>
      <c r="H79" s="120"/>
    </row>
    <row r="80" spans="1:8" ht="101" customHeight="1" x14ac:dyDescent="0.2">
      <c r="A80" s="67"/>
      <c r="B80" s="89" t="s">
        <v>242</v>
      </c>
      <c r="C80" s="121" t="s">
        <v>493</v>
      </c>
      <c r="D80" s="112"/>
      <c r="E80" s="112"/>
      <c r="F80" s="112"/>
      <c r="G80" s="112"/>
      <c r="H80" s="112"/>
    </row>
    <row r="81" spans="1:8" x14ac:dyDescent="0.2">
      <c r="A81" s="67"/>
      <c r="B81" s="67"/>
      <c r="C81" s="67"/>
      <c r="D81" s="67"/>
      <c r="E81" s="67"/>
      <c r="F81" s="67"/>
      <c r="G81" s="67"/>
      <c r="H81" s="67"/>
    </row>
    <row r="82" spans="1:8" x14ac:dyDescent="0.2">
      <c r="A82" s="67"/>
      <c r="B82" s="149" t="s">
        <v>417</v>
      </c>
      <c r="C82" s="116"/>
      <c r="D82" s="116"/>
      <c r="E82" s="116"/>
      <c r="F82" s="116"/>
      <c r="G82" s="116"/>
      <c r="H82" s="116"/>
    </row>
    <row r="83" spans="1:8" ht="56" customHeight="1" x14ac:dyDescent="0.2">
      <c r="A83" s="67"/>
      <c r="B83" s="86" t="s">
        <v>234</v>
      </c>
      <c r="C83" s="118" t="s">
        <v>243</v>
      </c>
      <c r="D83" s="118"/>
      <c r="E83" s="118"/>
      <c r="F83" s="118"/>
      <c r="G83" s="118"/>
      <c r="H83" s="118"/>
    </row>
    <row r="84" spans="1:8" ht="104" customHeight="1" x14ac:dyDescent="0.2">
      <c r="A84" s="67"/>
      <c r="B84" s="88" t="s">
        <v>236</v>
      </c>
      <c r="C84" s="119" t="s">
        <v>244</v>
      </c>
      <c r="D84" s="120"/>
      <c r="E84" s="120"/>
      <c r="F84" s="120"/>
      <c r="G84" s="120"/>
      <c r="H84" s="120"/>
    </row>
    <row r="85" spans="1:8" ht="60" customHeight="1" x14ac:dyDescent="0.2">
      <c r="A85" s="67"/>
      <c r="B85" s="88" t="s">
        <v>237</v>
      </c>
      <c r="C85" s="119" t="s">
        <v>245</v>
      </c>
      <c r="D85" s="120"/>
      <c r="E85" s="120"/>
      <c r="F85" s="120"/>
      <c r="G85" s="120"/>
      <c r="H85" s="120"/>
    </row>
    <row r="86" spans="1:8" ht="114" customHeight="1" x14ac:dyDescent="0.2">
      <c r="A86" s="67"/>
      <c r="B86" s="88" t="s">
        <v>238</v>
      </c>
      <c r="C86" s="119" t="s">
        <v>246</v>
      </c>
      <c r="D86" s="120"/>
      <c r="E86" s="120"/>
      <c r="F86" s="120"/>
      <c r="G86" s="120"/>
      <c r="H86" s="120"/>
    </row>
    <row r="87" spans="1:8" ht="84" customHeight="1" x14ac:dyDescent="0.2">
      <c r="A87" s="67"/>
      <c r="B87" s="88" t="s">
        <v>240</v>
      </c>
      <c r="C87" s="119" t="s">
        <v>247</v>
      </c>
      <c r="D87" s="120"/>
      <c r="E87" s="120"/>
      <c r="F87" s="120"/>
      <c r="G87" s="120"/>
      <c r="H87" s="120"/>
    </row>
    <row r="88" spans="1:8" ht="76" customHeight="1" x14ac:dyDescent="0.2">
      <c r="A88" s="67"/>
      <c r="B88" s="89" t="s">
        <v>242</v>
      </c>
      <c r="C88" s="121" t="s">
        <v>404</v>
      </c>
      <c r="D88" s="112"/>
      <c r="E88" s="112"/>
      <c r="F88" s="112"/>
      <c r="G88" s="112"/>
      <c r="H88" s="112"/>
    </row>
    <row r="89" spans="1:8" x14ac:dyDescent="0.2">
      <c r="A89" s="67"/>
      <c r="B89" s="67"/>
      <c r="C89" s="67"/>
      <c r="D89" s="67"/>
      <c r="E89" s="67"/>
      <c r="F89" s="67"/>
      <c r="G89" s="67"/>
      <c r="H89" s="67"/>
    </row>
    <row r="90" spans="1:8" x14ac:dyDescent="0.2">
      <c r="A90" s="67"/>
      <c r="B90" s="149" t="s">
        <v>418</v>
      </c>
      <c r="C90" s="116"/>
      <c r="D90" s="116"/>
      <c r="E90" s="116"/>
      <c r="F90" s="116"/>
      <c r="G90" s="116"/>
      <c r="H90" s="116"/>
    </row>
    <row r="91" spans="1:8" ht="56" customHeight="1" x14ac:dyDescent="0.2">
      <c r="A91" s="67"/>
      <c r="B91" s="86" t="s">
        <v>234</v>
      </c>
      <c r="C91" s="118" t="s">
        <v>248</v>
      </c>
      <c r="D91" s="118"/>
      <c r="E91" s="118"/>
      <c r="F91" s="118"/>
      <c r="G91" s="118"/>
      <c r="H91" s="118"/>
    </row>
    <row r="92" spans="1:8" ht="88" customHeight="1" x14ac:dyDescent="0.2">
      <c r="A92" s="67"/>
      <c r="B92" s="88" t="s">
        <v>236</v>
      </c>
      <c r="C92" s="119" t="s">
        <v>489</v>
      </c>
      <c r="D92" s="120"/>
      <c r="E92" s="120"/>
      <c r="F92" s="120"/>
      <c r="G92" s="120"/>
      <c r="H92" s="120"/>
    </row>
    <row r="93" spans="1:8" ht="60" customHeight="1" x14ac:dyDescent="0.2">
      <c r="A93" s="67"/>
      <c r="B93" s="88" t="s">
        <v>237</v>
      </c>
      <c r="C93" s="119" t="s">
        <v>249</v>
      </c>
      <c r="D93" s="120"/>
      <c r="E93" s="120"/>
      <c r="F93" s="120"/>
      <c r="G93" s="120"/>
      <c r="H93" s="120"/>
    </row>
    <row r="94" spans="1:8" ht="96" customHeight="1" x14ac:dyDescent="0.2">
      <c r="A94" s="67"/>
      <c r="B94" s="88" t="s">
        <v>238</v>
      </c>
      <c r="C94" s="119" t="s">
        <v>490</v>
      </c>
      <c r="D94" s="120"/>
      <c r="E94" s="120"/>
      <c r="F94" s="120"/>
      <c r="G94" s="120"/>
      <c r="H94" s="120"/>
    </row>
    <row r="95" spans="1:8" ht="72" customHeight="1" x14ac:dyDescent="0.2">
      <c r="A95" s="67"/>
      <c r="B95" s="88" t="s">
        <v>240</v>
      </c>
      <c r="C95" s="119" t="s">
        <v>491</v>
      </c>
      <c r="D95" s="120"/>
      <c r="E95" s="120"/>
      <c r="F95" s="120"/>
      <c r="G95" s="120"/>
      <c r="H95" s="120"/>
    </row>
    <row r="96" spans="1:8" ht="76" customHeight="1" x14ac:dyDescent="0.2">
      <c r="A96" s="67"/>
      <c r="B96" s="89" t="s">
        <v>242</v>
      </c>
      <c r="C96" s="121" t="s">
        <v>492</v>
      </c>
      <c r="D96" s="112"/>
      <c r="E96" s="112"/>
      <c r="F96" s="112"/>
      <c r="G96" s="112"/>
      <c r="H96" s="112"/>
    </row>
    <row r="97" spans="1:8" x14ac:dyDescent="0.2">
      <c r="A97" s="67"/>
      <c r="B97" s="67"/>
      <c r="C97" s="67"/>
      <c r="D97" s="67"/>
      <c r="E97" s="67"/>
      <c r="F97" s="67"/>
      <c r="G97" s="67"/>
      <c r="H97" s="67"/>
    </row>
    <row r="98" spans="1:8" x14ac:dyDescent="0.2">
      <c r="A98" s="67"/>
      <c r="B98" s="149" t="s">
        <v>419</v>
      </c>
      <c r="C98" s="116"/>
      <c r="D98" s="116"/>
      <c r="E98" s="116"/>
      <c r="F98" s="116"/>
      <c r="G98" s="116"/>
      <c r="H98" s="116"/>
    </row>
    <row r="99" spans="1:8" ht="52" customHeight="1" x14ac:dyDescent="0.2">
      <c r="A99" s="67"/>
      <c r="B99" s="86" t="s">
        <v>234</v>
      </c>
      <c r="C99" s="118" t="s">
        <v>250</v>
      </c>
      <c r="D99" s="118"/>
      <c r="E99" s="118"/>
      <c r="F99" s="118"/>
      <c r="G99" s="118"/>
      <c r="H99" s="118"/>
    </row>
    <row r="100" spans="1:8" ht="88" customHeight="1" x14ac:dyDescent="0.2">
      <c r="A100" s="67"/>
      <c r="B100" s="88" t="s">
        <v>236</v>
      </c>
      <c r="C100" s="119" t="s">
        <v>251</v>
      </c>
      <c r="D100" s="120"/>
      <c r="E100" s="120"/>
      <c r="F100" s="120"/>
      <c r="G100" s="120"/>
      <c r="H100" s="120"/>
    </row>
    <row r="101" spans="1:8" ht="44" customHeight="1" x14ac:dyDescent="0.2">
      <c r="A101" s="67"/>
      <c r="B101" s="88" t="s">
        <v>237</v>
      </c>
      <c r="C101" s="119" t="s">
        <v>252</v>
      </c>
      <c r="D101" s="120"/>
      <c r="E101" s="120"/>
      <c r="F101" s="120"/>
      <c r="G101" s="120"/>
      <c r="H101" s="120"/>
    </row>
    <row r="102" spans="1:8" ht="84" customHeight="1" x14ac:dyDescent="0.2">
      <c r="A102" s="67"/>
      <c r="B102" s="88" t="s">
        <v>238</v>
      </c>
      <c r="C102" s="119" t="s">
        <v>253</v>
      </c>
      <c r="D102" s="120"/>
      <c r="E102" s="120"/>
      <c r="F102" s="120"/>
      <c r="G102" s="120"/>
      <c r="H102" s="120"/>
    </row>
    <row r="103" spans="1:8" ht="60" customHeight="1" x14ac:dyDescent="0.2">
      <c r="A103" s="67"/>
      <c r="B103" s="88" t="s">
        <v>240</v>
      </c>
      <c r="C103" s="119" t="s">
        <v>254</v>
      </c>
      <c r="D103" s="120"/>
      <c r="E103" s="120"/>
      <c r="F103" s="120"/>
      <c r="G103" s="120"/>
      <c r="H103" s="120"/>
    </row>
    <row r="104" spans="1:8" ht="76" customHeight="1" x14ac:dyDescent="0.2">
      <c r="A104" s="67"/>
      <c r="B104" s="89" t="s">
        <v>242</v>
      </c>
      <c r="C104" s="121" t="s">
        <v>405</v>
      </c>
      <c r="D104" s="112"/>
      <c r="E104" s="112"/>
      <c r="F104" s="112"/>
      <c r="G104" s="112"/>
      <c r="H104" s="112"/>
    </row>
    <row r="105" spans="1:8" x14ac:dyDescent="0.2">
      <c r="A105" s="67"/>
      <c r="B105" s="67"/>
      <c r="C105" s="67"/>
      <c r="D105" s="67"/>
      <c r="E105" s="67"/>
      <c r="F105" s="67"/>
      <c r="G105" s="67"/>
      <c r="H105" s="67"/>
    </row>
    <row r="106" spans="1:8" x14ac:dyDescent="0.2">
      <c r="A106" s="67"/>
      <c r="B106" s="149" t="s">
        <v>420</v>
      </c>
      <c r="C106" s="116"/>
      <c r="D106" s="116"/>
      <c r="E106" s="116"/>
      <c r="F106" s="116"/>
      <c r="G106" s="116"/>
      <c r="H106" s="116"/>
    </row>
    <row r="107" spans="1:8" ht="68" customHeight="1" x14ac:dyDescent="0.2">
      <c r="A107" s="67"/>
      <c r="B107" s="86" t="s">
        <v>234</v>
      </c>
      <c r="C107" s="118" t="s">
        <v>255</v>
      </c>
      <c r="D107" s="118"/>
      <c r="E107" s="118"/>
      <c r="F107" s="118"/>
      <c r="G107" s="118"/>
      <c r="H107" s="118"/>
    </row>
    <row r="108" spans="1:8" ht="72" customHeight="1" x14ac:dyDescent="0.2">
      <c r="A108" s="67"/>
      <c r="B108" s="88" t="s">
        <v>236</v>
      </c>
      <c r="C108" s="119" t="s">
        <v>256</v>
      </c>
      <c r="D108" s="120"/>
      <c r="E108" s="120"/>
      <c r="F108" s="120"/>
      <c r="G108" s="120"/>
      <c r="H108" s="120"/>
    </row>
    <row r="109" spans="1:8" ht="44" customHeight="1" x14ac:dyDescent="0.2">
      <c r="A109" s="67"/>
      <c r="B109" s="88" t="s">
        <v>237</v>
      </c>
      <c r="C109" s="119" t="s">
        <v>257</v>
      </c>
      <c r="D109" s="120"/>
      <c r="E109" s="120"/>
      <c r="F109" s="120"/>
      <c r="G109" s="120"/>
      <c r="H109" s="120"/>
    </row>
    <row r="110" spans="1:8" ht="72" customHeight="1" x14ac:dyDescent="0.2">
      <c r="A110" s="67"/>
      <c r="B110" s="88" t="s">
        <v>238</v>
      </c>
      <c r="C110" s="119" t="s">
        <v>258</v>
      </c>
      <c r="D110" s="120"/>
      <c r="E110" s="120"/>
      <c r="F110" s="120"/>
      <c r="G110" s="120"/>
      <c r="H110" s="120"/>
    </row>
    <row r="111" spans="1:8" ht="56" customHeight="1" x14ac:dyDescent="0.2">
      <c r="A111" s="67"/>
      <c r="B111" s="88" t="s">
        <v>240</v>
      </c>
      <c r="C111" s="119" t="s">
        <v>259</v>
      </c>
      <c r="D111" s="120"/>
      <c r="E111" s="120"/>
      <c r="F111" s="120"/>
      <c r="G111" s="120"/>
      <c r="H111" s="120"/>
    </row>
    <row r="112" spans="1:8" ht="80" customHeight="1" x14ac:dyDescent="0.2">
      <c r="A112" s="67"/>
      <c r="B112" s="89" t="s">
        <v>242</v>
      </c>
      <c r="C112" s="121" t="s">
        <v>406</v>
      </c>
      <c r="D112" s="112"/>
      <c r="E112" s="112"/>
      <c r="F112" s="112"/>
      <c r="G112" s="112"/>
      <c r="H112" s="112"/>
    </row>
    <row r="113" spans="1:8" ht="80" customHeight="1" x14ac:dyDescent="0.2"/>
    <row r="114" spans="1:8" ht="80" customHeight="1" x14ac:dyDescent="0.2">
      <c r="B114" s="183" t="s">
        <v>504</v>
      </c>
    </row>
    <row r="115" spans="1:8" ht="80" customHeight="1" x14ac:dyDescent="0.2">
      <c r="B115" s="184" t="s">
        <v>505</v>
      </c>
      <c r="C115" s="185" t="s">
        <v>506</v>
      </c>
    </row>
    <row r="116" spans="1:8" ht="80" customHeight="1" x14ac:dyDescent="0.2">
      <c r="B116" s="186" t="s">
        <v>507</v>
      </c>
      <c r="C116" s="14" t="s">
        <v>508</v>
      </c>
    </row>
    <row r="117" spans="1:8" ht="80" customHeight="1" x14ac:dyDescent="0.2">
      <c r="B117" s="186" t="s">
        <v>509</v>
      </c>
      <c r="C117" s="14" t="s">
        <v>510</v>
      </c>
    </row>
    <row r="118" spans="1:8" ht="80" customHeight="1" x14ac:dyDescent="0.2">
      <c r="B118" s="186" t="s">
        <v>511</v>
      </c>
      <c r="C118" s="14" t="s">
        <v>512</v>
      </c>
    </row>
    <row r="119" spans="1:8" ht="80" customHeight="1" x14ac:dyDescent="0.2">
      <c r="B119" s="186" t="s">
        <v>513</v>
      </c>
      <c r="C119" s="14" t="s">
        <v>514</v>
      </c>
    </row>
    <row r="120" spans="1:8" ht="80" customHeight="1" x14ac:dyDescent="0.2">
      <c r="B120" s="186" t="s">
        <v>515</v>
      </c>
      <c r="C120" s="14" t="s">
        <v>516</v>
      </c>
    </row>
    <row r="121" spans="1:8" ht="80" customHeight="1" x14ac:dyDescent="0.2">
      <c r="B121" s="186" t="s">
        <v>517</v>
      </c>
      <c r="C121" s="14" t="s">
        <v>518</v>
      </c>
    </row>
    <row r="122" spans="1:8" ht="80" customHeight="1" x14ac:dyDescent="0.2">
      <c r="B122" s="186" t="s">
        <v>519</v>
      </c>
      <c r="C122" s="14" t="s">
        <v>520</v>
      </c>
    </row>
    <row r="123" spans="1:8" ht="80" customHeight="1" x14ac:dyDescent="0.2">
      <c r="B123" s="186" t="s">
        <v>521</v>
      </c>
      <c r="C123" s="187" t="s">
        <v>522</v>
      </c>
    </row>
    <row r="124" spans="1:8" ht="80" customHeight="1" x14ac:dyDescent="0.2">
      <c r="B124" s="186" t="s">
        <v>238</v>
      </c>
      <c r="C124" s="188" t="s">
        <v>523</v>
      </c>
    </row>
    <row r="125" spans="1:8" ht="80" customHeight="1" x14ac:dyDescent="0.2">
      <c r="B125" s="186" t="s">
        <v>242</v>
      </c>
      <c r="C125" s="188" t="s">
        <v>524</v>
      </c>
    </row>
    <row r="126" spans="1:8" x14ac:dyDescent="0.2">
      <c r="A126" s="67"/>
      <c r="B126" s="67"/>
      <c r="C126" s="67"/>
      <c r="D126" s="67"/>
      <c r="E126" s="67"/>
      <c r="F126" s="67"/>
      <c r="G126" s="67"/>
      <c r="H126" s="67"/>
    </row>
    <row r="127" spans="1:8" ht="20" customHeight="1" x14ac:dyDescent="0.2">
      <c r="A127" s="67"/>
      <c r="B127" s="122" t="s">
        <v>421</v>
      </c>
      <c r="C127" s="116"/>
      <c r="D127" s="116"/>
      <c r="E127" s="116"/>
      <c r="F127" s="116"/>
      <c r="G127" s="116"/>
      <c r="H127" s="116"/>
    </row>
    <row r="128" spans="1:8" ht="42" customHeight="1" x14ac:dyDescent="0.2">
      <c r="A128" s="67"/>
      <c r="B128" s="129" t="s">
        <v>422</v>
      </c>
      <c r="C128" s="116"/>
      <c r="D128" s="116"/>
      <c r="E128" s="116"/>
      <c r="F128" s="116"/>
      <c r="G128" s="116"/>
      <c r="H128" s="116"/>
    </row>
    <row r="129" spans="1:8" x14ac:dyDescent="0.2">
      <c r="A129" s="67"/>
      <c r="B129" s="99" t="s">
        <v>423</v>
      </c>
      <c r="C129" s="130" t="s">
        <v>424</v>
      </c>
      <c r="D129" s="130"/>
      <c r="E129" s="79" t="s">
        <v>425</v>
      </c>
      <c r="F129" s="130" t="s">
        <v>426</v>
      </c>
      <c r="G129" s="130"/>
      <c r="H129" s="131"/>
    </row>
    <row r="130" spans="1:8" ht="34" customHeight="1" x14ac:dyDescent="0.2">
      <c r="A130" s="67"/>
      <c r="B130" s="98" t="s">
        <v>427</v>
      </c>
      <c r="C130" s="103" t="s">
        <v>499</v>
      </c>
      <c r="D130" s="113"/>
      <c r="E130" s="76" t="s">
        <v>428</v>
      </c>
      <c r="F130" s="104" t="s">
        <v>501</v>
      </c>
      <c r="G130" s="113"/>
      <c r="H130" s="114"/>
    </row>
    <row r="131" spans="1:8" ht="34" customHeight="1" x14ac:dyDescent="0.2">
      <c r="A131" s="67"/>
      <c r="B131" s="98" t="s">
        <v>429</v>
      </c>
      <c r="C131" s="103" t="s">
        <v>500</v>
      </c>
      <c r="D131" s="113"/>
      <c r="E131" s="76" t="s">
        <v>428</v>
      </c>
      <c r="F131" s="104" t="s">
        <v>502</v>
      </c>
      <c r="G131" s="113"/>
      <c r="H131" s="114"/>
    </row>
    <row r="132" spans="1:8" ht="34" customHeight="1" x14ac:dyDescent="0.2">
      <c r="A132" s="67"/>
      <c r="B132" s="98" t="s">
        <v>430</v>
      </c>
      <c r="C132" s="103" t="s">
        <v>500</v>
      </c>
      <c r="D132" s="113"/>
      <c r="E132" s="76" t="s">
        <v>431</v>
      </c>
      <c r="F132" s="104" t="s">
        <v>432</v>
      </c>
      <c r="G132" s="113"/>
      <c r="H132" s="114"/>
    </row>
    <row r="133" spans="1:8" ht="34" customHeight="1" x14ac:dyDescent="0.2">
      <c r="A133" s="67"/>
      <c r="B133" s="98" t="s">
        <v>433</v>
      </c>
      <c r="C133" s="103" t="s">
        <v>434</v>
      </c>
      <c r="D133" s="103"/>
      <c r="E133" s="76" t="s">
        <v>431</v>
      </c>
      <c r="F133" s="104" t="s">
        <v>435</v>
      </c>
      <c r="G133" s="104"/>
      <c r="H133" s="105"/>
    </row>
    <row r="134" spans="1:8" ht="34" customHeight="1" x14ac:dyDescent="0.2">
      <c r="A134" s="67"/>
      <c r="B134" s="98" t="s">
        <v>436</v>
      </c>
      <c r="C134" s="103" t="s">
        <v>434</v>
      </c>
      <c r="D134" s="103"/>
      <c r="E134" s="76" t="s">
        <v>428</v>
      </c>
      <c r="F134" s="104" t="s">
        <v>503</v>
      </c>
      <c r="G134" s="104"/>
      <c r="H134" s="105"/>
    </row>
    <row r="135" spans="1:8" ht="34" customHeight="1" x14ac:dyDescent="0.2">
      <c r="A135" s="67"/>
      <c r="B135" s="98" t="s">
        <v>438</v>
      </c>
      <c r="C135" s="103" t="s">
        <v>437</v>
      </c>
      <c r="D135" s="103"/>
      <c r="E135" s="76" t="s">
        <v>439</v>
      </c>
      <c r="F135" s="104" t="s">
        <v>440</v>
      </c>
      <c r="G135" s="104"/>
      <c r="H135" s="105"/>
    </row>
    <row r="136" spans="1:8" ht="34" customHeight="1" x14ac:dyDescent="0.2">
      <c r="A136" s="67"/>
      <c r="B136" s="98" t="s">
        <v>441</v>
      </c>
      <c r="C136" s="103" t="s">
        <v>437</v>
      </c>
      <c r="D136" s="103"/>
      <c r="E136" s="76" t="s">
        <v>431</v>
      </c>
      <c r="F136" s="104" t="s">
        <v>442</v>
      </c>
      <c r="G136" s="104"/>
      <c r="H136" s="105"/>
    </row>
    <row r="137" spans="1:8" ht="34" customHeight="1" x14ac:dyDescent="0.2">
      <c r="A137" s="67"/>
      <c r="B137" s="98" t="s">
        <v>443</v>
      </c>
      <c r="C137" s="103" t="s">
        <v>500</v>
      </c>
      <c r="D137" s="103"/>
      <c r="E137" s="76" t="s">
        <v>431</v>
      </c>
      <c r="F137" s="104" t="s">
        <v>444</v>
      </c>
      <c r="G137" s="104"/>
      <c r="H137" s="105"/>
    </row>
    <row r="138" spans="1:8" ht="34" customHeight="1" x14ac:dyDescent="0.2">
      <c r="A138" s="67"/>
      <c r="B138" s="100" t="s">
        <v>445</v>
      </c>
      <c r="C138" s="106" t="s">
        <v>446</v>
      </c>
      <c r="D138" s="106"/>
      <c r="E138" s="91" t="s">
        <v>447</v>
      </c>
      <c r="F138" s="107" t="s">
        <v>448</v>
      </c>
      <c r="G138" s="107"/>
      <c r="H138" s="108"/>
    </row>
    <row r="139" spans="1:8" ht="44" customHeight="1" x14ac:dyDescent="0.2">
      <c r="A139" s="67"/>
      <c r="B139" s="101" t="s">
        <v>449</v>
      </c>
      <c r="C139" s="109" t="s">
        <v>479</v>
      </c>
      <c r="D139" s="110"/>
      <c r="E139" s="110"/>
      <c r="F139" s="110"/>
      <c r="G139" s="110"/>
      <c r="H139" s="110"/>
    </row>
    <row r="140" spans="1:8" ht="32" customHeight="1" x14ac:dyDescent="0.2">
      <c r="A140" s="67"/>
      <c r="B140" s="102" t="s">
        <v>450</v>
      </c>
      <c r="C140" s="111" t="s">
        <v>480</v>
      </c>
      <c r="D140" s="112"/>
      <c r="E140" s="112"/>
      <c r="F140" s="112"/>
      <c r="G140" s="112"/>
      <c r="H140" s="112"/>
    </row>
    <row r="141" spans="1:8" ht="32" customHeight="1" x14ac:dyDescent="0.2"/>
    <row r="142" spans="1:8" ht="32" customHeight="1" x14ac:dyDescent="0.2">
      <c r="B142" s="189" t="s">
        <v>525</v>
      </c>
    </row>
    <row r="143" spans="1:8" ht="32" customHeight="1" x14ac:dyDescent="0.2">
      <c r="B143" s="186" t="s">
        <v>505</v>
      </c>
      <c r="C143" s="14" t="s">
        <v>526</v>
      </c>
    </row>
    <row r="144" spans="1:8" ht="32" customHeight="1" x14ac:dyDescent="0.2">
      <c r="B144" s="190" t="s">
        <v>527</v>
      </c>
      <c r="C144" s="190" t="s">
        <v>528</v>
      </c>
    </row>
    <row r="145" spans="1:8" ht="32" customHeight="1" x14ac:dyDescent="0.2">
      <c r="B145" s="191" t="s">
        <v>529</v>
      </c>
      <c r="C145" s="14" t="s">
        <v>530</v>
      </c>
    </row>
    <row r="146" spans="1:8" ht="32" customHeight="1" x14ac:dyDescent="0.2">
      <c r="B146" s="192" t="s">
        <v>531</v>
      </c>
      <c r="C146" s="193" t="s">
        <v>532</v>
      </c>
    </row>
    <row r="147" spans="1:8" ht="32" customHeight="1" x14ac:dyDescent="0.2">
      <c r="B147" s="192" t="s">
        <v>533</v>
      </c>
      <c r="C147" s="193" t="s">
        <v>534</v>
      </c>
    </row>
    <row r="148" spans="1:8" ht="32" customHeight="1" x14ac:dyDescent="0.2">
      <c r="B148" s="191" t="s">
        <v>535</v>
      </c>
      <c r="C148" s="14" t="s">
        <v>536</v>
      </c>
    </row>
    <row r="149" spans="1:8" ht="32" customHeight="1" x14ac:dyDescent="0.2">
      <c r="B149" s="191" t="s">
        <v>537</v>
      </c>
      <c r="C149" s="14" t="s">
        <v>538</v>
      </c>
    </row>
    <row r="150" spans="1:8" ht="32" customHeight="1" x14ac:dyDescent="0.2">
      <c r="B150" s="191" t="s">
        <v>539</v>
      </c>
      <c r="C150" s="14" t="s">
        <v>540</v>
      </c>
    </row>
    <row r="151" spans="1:8" ht="32" customHeight="1" x14ac:dyDescent="0.2">
      <c r="B151" s="191" t="s">
        <v>541</v>
      </c>
      <c r="C151" s="14" t="s">
        <v>542</v>
      </c>
    </row>
    <row r="152" spans="1:8" x14ac:dyDescent="0.2">
      <c r="A152" s="67"/>
    </row>
    <row r="153" spans="1:8" ht="20" customHeight="1" x14ac:dyDescent="0.2">
      <c r="A153" s="67"/>
      <c r="B153" s="122" t="s">
        <v>407</v>
      </c>
      <c r="C153" s="116"/>
      <c r="D153" s="116"/>
      <c r="E153" s="116"/>
      <c r="F153" s="116"/>
      <c r="G153" s="116"/>
      <c r="H153" s="116"/>
    </row>
    <row r="154" spans="1:8" ht="96" customHeight="1" x14ac:dyDescent="0.2">
      <c r="A154" s="67"/>
      <c r="B154" s="85" t="s">
        <v>260</v>
      </c>
      <c r="C154" s="133" t="s">
        <v>558</v>
      </c>
      <c r="D154" s="133"/>
      <c r="E154" s="133"/>
      <c r="F154" s="133"/>
      <c r="G154" s="133"/>
      <c r="H154" s="133"/>
    </row>
    <row r="155" spans="1:8" x14ac:dyDescent="0.2">
      <c r="A155" s="67"/>
      <c r="B155" s="132" t="s">
        <v>261</v>
      </c>
      <c r="C155" s="120"/>
      <c r="D155" s="120"/>
      <c r="E155" s="120"/>
      <c r="F155" s="120"/>
      <c r="G155" s="120"/>
      <c r="H155" s="120"/>
    </row>
    <row r="156" spans="1:8" ht="52" customHeight="1" x14ac:dyDescent="0.2">
      <c r="A156" s="67"/>
      <c r="B156" s="85" t="s">
        <v>262</v>
      </c>
      <c r="C156" s="133" t="s">
        <v>263</v>
      </c>
      <c r="D156" s="134"/>
      <c r="E156" s="134"/>
      <c r="F156" s="134"/>
      <c r="G156" s="134"/>
      <c r="H156" s="134"/>
    </row>
    <row r="157" spans="1:8" x14ac:dyDescent="0.2">
      <c r="A157" s="67"/>
      <c r="B157" s="132" t="s">
        <v>264</v>
      </c>
      <c r="C157" s="120"/>
      <c r="D157" s="120"/>
      <c r="E157" s="120"/>
      <c r="F157" s="120"/>
      <c r="G157" s="120"/>
      <c r="H157" s="120"/>
    </row>
    <row r="158" spans="1:8" x14ac:dyDescent="0.2">
      <c r="A158" s="67"/>
      <c r="B158" s="78" t="s">
        <v>265</v>
      </c>
      <c r="C158" s="130" t="s">
        <v>266</v>
      </c>
      <c r="D158" s="130"/>
      <c r="E158" s="130"/>
      <c r="F158" s="130" t="s">
        <v>267</v>
      </c>
      <c r="G158" s="130"/>
      <c r="H158" s="131"/>
    </row>
    <row r="159" spans="1:8" ht="26" customHeight="1" x14ac:dyDescent="0.2">
      <c r="A159" s="67"/>
      <c r="B159" s="83" t="s">
        <v>268</v>
      </c>
      <c r="C159" s="123" t="s">
        <v>269</v>
      </c>
      <c r="D159" s="113"/>
      <c r="E159" s="113"/>
      <c r="F159" s="104" t="s">
        <v>270</v>
      </c>
      <c r="G159" s="113"/>
      <c r="H159" s="114"/>
    </row>
    <row r="160" spans="1:8" ht="26" customHeight="1" x14ac:dyDescent="0.2">
      <c r="A160" s="67"/>
      <c r="B160" s="83" t="s">
        <v>271</v>
      </c>
      <c r="C160" s="123" t="s">
        <v>272</v>
      </c>
      <c r="D160" s="113"/>
      <c r="E160" s="113"/>
      <c r="F160" s="104" t="s">
        <v>273</v>
      </c>
      <c r="G160" s="113"/>
      <c r="H160" s="114"/>
    </row>
    <row r="161" spans="1:8" ht="26" customHeight="1" x14ac:dyDescent="0.2">
      <c r="A161" s="67"/>
      <c r="B161" s="83" t="s">
        <v>274</v>
      </c>
      <c r="C161" s="123" t="s">
        <v>275</v>
      </c>
      <c r="D161" s="113"/>
      <c r="E161" s="113"/>
      <c r="F161" s="104" t="s">
        <v>276</v>
      </c>
      <c r="G161" s="113"/>
      <c r="H161" s="114"/>
    </row>
    <row r="162" spans="1:8" ht="26" customHeight="1" x14ac:dyDescent="0.2">
      <c r="A162" s="67"/>
      <c r="B162" s="83" t="s">
        <v>277</v>
      </c>
      <c r="C162" s="123" t="s">
        <v>278</v>
      </c>
      <c r="D162" s="123"/>
      <c r="E162" s="123"/>
      <c r="F162" s="104" t="s">
        <v>279</v>
      </c>
      <c r="G162" s="104"/>
      <c r="H162" s="105"/>
    </row>
    <row r="163" spans="1:8" ht="26" customHeight="1" x14ac:dyDescent="0.2">
      <c r="A163" s="67"/>
      <c r="B163" s="83" t="s">
        <v>280</v>
      </c>
      <c r="C163" s="123" t="s">
        <v>281</v>
      </c>
      <c r="D163" s="123"/>
      <c r="E163" s="123"/>
      <c r="F163" s="104" t="s">
        <v>282</v>
      </c>
      <c r="G163" s="104"/>
      <c r="H163" s="105"/>
    </row>
    <row r="164" spans="1:8" ht="26" customHeight="1" x14ac:dyDescent="0.2">
      <c r="A164" s="67"/>
      <c r="B164" s="83" t="s">
        <v>283</v>
      </c>
      <c r="C164" s="123" t="s">
        <v>284</v>
      </c>
      <c r="D164" s="123"/>
      <c r="E164" s="123"/>
      <c r="F164" s="104" t="s">
        <v>285</v>
      </c>
      <c r="G164" s="104"/>
      <c r="H164" s="105"/>
    </row>
    <row r="165" spans="1:8" ht="26" customHeight="1" x14ac:dyDescent="0.2">
      <c r="A165" s="67"/>
      <c r="B165" s="83" t="s">
        <v>286</v>
      </c>
      <c r="C165" s="123" t="s">
        <v>287</v>
      </c>
      <c r="D165" s="123"/>
      <c r="E165" s="123"/>
      <c r="F165" s="104" t="s">
        <v>288</v>
      </c>
      <c r="G165" s="104"/>
      <c r="H165" s="105"/>
    </row>
    <row r="166" spans="1:8" ht="26" customHeight="1" x14ac:dyDescent="0.2">
      <c r="A166" s="67"/>
      <c r="B166" s="83" t="s">
        <v>289</v>
      </c>
      <c r="C166" s="123" t="s">
        <v>290</v>
      </c>
      <c r="D166" s="123"/>
      <c r="E166" s="123"/>
      <c r="F166" s="104" t="s">
        <v>291</v>
      </c>
      <c r="G166" s="104"/>
      <c r="H166" s="105"/>
    </row>
    <row r="167" spans="1:8" ht="26" customHeight="1" x14ac:dyDescent="0.2">
      <c r="A167" s="67"/>
      <c r="B167" s="84" t="s">
        <v>292</v>
      </c>
      <c r="C167" s="126" t="s">
        <v>293</v>
      </c>
      <c r="D167" s="126"/>
      <c r="E167" s="126"/>
      <c r="F167" s="146" t="s">
        <v>294</v>
      </c>
      <c r="G167" s="146"/>
      <c r="H167" s="147"/>
    </row>
    <row r="168" spans="1:8" x14ac:dyDescent="0.2">
      <c r="A168" s="67"/>
      <c r="B168" s="148" t="s">
        <v>295</v>
      </c>
      <c r="C168" s="110"/>
      <c r="D168" s="110"/>
      <c r="E168" s="110"/>
      <c r="F168" s="110"/>
      <c r="G168" s="110"/>
      <c r="H168" s="110"/>
    </row>
    <row r="169" spans="1:8" ht="100" customHeight="1" x14ac:dyDescent="0.2">
      <c r="A169" s="67"/>
      <c r="B169" s="85" t="s">
        <v>296</v>
      </c>
      <c r="C169" s="133" t="s">
        <v>297</v>
      </c>
      <c r="D169" s="134"/>
      <c r="E169" s="134"/>
      <c r="F169" s="134"/>
      <c r="G169" s="134"/>
      <c r="H169" s="134"/>
    </row>
    <row r="170" spans="1:8" x14ac:dyDescent="0.2">
      <c r="A170" s="67"/>
      <c r="B170" s="132" t="s">
        <v>298</v>
      </c>
      <c r="C170" s="120"/>
      <c r="D170" s="120"/>
      <c r="E170" s="120"/>
      <c r="F170" s="120"/>
      <c r="G170" s="120"/>
      <c r="H170" s="120"/>
    </row>
    <row r="171" spans="1:8" ht="96" customHeight="1" x14ac:dyDescent="0.2">
      <c r="A171" s="67"/>
      <c r="B171" s="86" t="s">
        <v>238</v>
      </c>
      <c r="C171" s="118" t="s">
        <v>299</v>
      </c>
      <c r="D171" s="116"/>
      <c r="E171" s="116"/>
      <c r="F171" s="116"/>
      <c r="G171" s="116"/>
      <c r="H171" s="116"/>
    </row>
    <row r="172" spans="1:8" ht="76" customHeight="1" x14ac:dyDescent="0.2">
      <c r="A172" s="67"/>
      <c r="B172" s="89" t="s">
        <v>242</v>
      </c>
      <c r="C172" s="121" t="s">
        <v>300</v>
      </c>
      <c r="D172" s="112"/>
      <c r="E172" s="112"/>
      <c r="F172" s="112"/>
      <c r="G172" s="112"/>
      <c r="H172" s="112"/>
    </row>
    <row r="173" spans="1:8" x14ac:dyDescent="0.2">
      <c r="A173" s="67"/>
      <c r="B173" s="67"/>
      <c r="C173" s="67"/>
      <c r="D173" s="67"/>
      <c r="E173" s="67"/>
      <c r="F173" s="67"/>
      <c r="G173" s="67"/>
      <c r="H173" s="67"/>
    </row>
    <row r="174" spans="1:8" ht="20" customHeight="1" x14ac:dyDescent="0.2">
      <c r="A174" s="67"/>
      <c r="B174" s="122" t="s">
        <v>408</v>
      </c>
      <c r="C174" s="116"/>
      <c r="D174" s="116"/>
      <c r="E174" s="116"/>
      <c r="F174" s="116"/>
      <c r="G174" s="116"/>
      <c r="H174" s="116"/>
    </row>
    <row r="175" spans="1:8" ht="44" customHeight="1" x14ac:dyDescent="0.2">
      <c r="A175" s="67"/>
      <c r="B175" s="129" t="s">
        <v>301</v>
      </c>
      <c r="C175" s="116"/>
      <c r="D175" s="116"/>
      <c r="E175" s="116"/>
      <c r="F175" s="116"/>
      <c r="G175" s="116"/>
      <c r="H175" s="116"/>
    </row>
    <row r="176" spans="1:8" x14ac:dyDescent="0.2">
      <c r="A176" s="67"/>
      <c r="B176" s="78" t="s">
        <v>302</v>
      </c>
      <c r="C176" s="130" t="s">
        <v>303</v>
      </c>
      <c r="D176" s="130"/>
      <c r="E176" s="130"/>
      <c r="F176" s="130" t="s">
        <v>304</v>
      </c>
      <c r="G176" s="130"/>
      <c r="H176" s="131"/>
    </row>
    <row r="177" spans="1:8" ht="44" customHeight="1" x14ac:dyDescent="0.2">
      <c r="A177" s="67"/>
      <c r="B177" s="83" t="s">
        <v>305</v>
      </c>
      <c r="C177" s="141" t="s">
        <v>306</v>
      </c>
      <c r="D177" s="113"/>
      <c r="E177" s="113"/>
      <c r="F177" s="104" t="s">
        <v>454</v>
      </c>
      <c r="G177" s="113"/>
      <c r="H177" s="114"/>
    </row>
    <row r="178" spans="1:8" ht="44" customHeight="1" x14ac:dyDescent="0.2">
      <c r="A178" s="67"/>
      <c r="B178" s="83" t="s">
        <v>307</v>
      </c>
      <c r="C178" s="141" t="s">
        <v>308</v>
      </c>
      <c r="D178" s="113"/>
      <c r="E178" s="113"/>
      <c r="F178" s="104" t="s">
        <v>309</v>
      </c>
      <c r="G178" s="113"/>
      <c r="H178" s="114"/>
    </row>
    <row r="179" spans="1:8" ht="44" customHeight="1" x14ac:dyDescent="0.2">
      <c r="A179" s="67"/>
      <c r="B179" s="83" t="s">
        <v>310</v>
      </c>
      <c r="C179" s="141" t="s">
        <v>311</v>
      </c>
      <c r="D179" s="113"/>
      <c r="E179" s="113"/>
      <c r="F179" s="104" t="s">
        <v>312</v>
      </c>
      <c r="G179" s="113"/>
      <c r="H179" s="114"/>
    </row>
    <row r="180" spans="1:8" ht="44" customHeight="1" x14ac:dyDescent="0.2">
      <c r="A180" s="67"/>
      <c r="B180" s="83" t="s">
        <v>313</v>
      </c>
      <c r="C180" s="141" t="s">
        <v>314</v>
      </c>
      <c r="D180" s="141"/>
      <c r="E180" s="141"/>
      <c r="F180" s="104" t="s">
        <v>315</v>
      </c>
      <c r="G180" s="104"/>
      <c r="H180" s="105"/>
    </row>
    <row r="181" spans="1:8" ht="44" customHeight="1" x14ac:dyDescent="0.2">
      <c r="A181" s="67"/>
      <c r="B181" s="84" t="s">
        <v>316</v>
      </c>
      <c r="C181" s="143" t="s">
        <v>317</v>
      </c>
      <c r="D181" s="143"/>
      <c r="E181" s="143"/>
      <c r="F181" s="146" t="s">
        <v>318</v>
      </c>
      <c r="G181" s="146"/>
      <c r="H181" s="147"/>
    </row>
    <row r="182" spans="1:8" x14ac:dyDescent="0.2">
      <c r="A182" s="67"/>
      <c r="B182" s="67"/>
      <c r="C182" s="67"/>
      <c r="D182" s="67"/>
      <c r="E182" s="67"/>
      <c r="F182" s="67"/>
      <c r="G182" s="67"/>
      <c r="H182" s="67"/>
    </row>
    <row r="183" spans="1:8" ht="20" customHeight="1" x14ac:dyDescent="0.2">
      <c r="A183" s="67"/>
      <c r="B183" s="122" t="s">
        <v>409</v>
      </c>
      <c r="C183" s="116"/>
      <c r="D183" s="116"/>
      <c r="E183" s="116"/>
      <c r="F183" s="116"/>
      <c r="G183" s="116"/>
      <c r="H183" s="116"/>
    </row>
    <row r="184" spans="1:8" ht="28" customHeight="1" x14ac:dyDescent="0.2">
      <c r="A184" s="67"/>
      <c r="B184" s="129" t="s">
        <v>319</v>
      </c>
      <c r="C184" s="116"/>
      <c r="D184" s="116"/>
      <c r="E184" s="116"/>
      <c r="F184" s="116"/>
      <c r="G184" s="116"/>
      <c r="H184" s="116"/>
    </row>
    <row r="185" spans="1:8" x14ac:dyDescent="0.2">
      <c r="A185" s="67"/>
      <c r="B185" s="78" t="s">
        <v>320</v>
      </c>
      <c r="C185" s="130" t="s">
        <v>321</v>
      </c>
      <c r="D185" s="130"/>
      <c r="E185" s="130"/>
      <c r="F185" s="130"/>
      <c r="G185" s="130"/>
      <c r="H185" s="131"/>
    </row>
    <row r="186" spans="1:8" ht="40" customHeight="1" x14ac:dyDescent="0.2">
      <c r="A186" s="67"/>
      <c r="B186" s="83" t="s">
        <v>322</v>
      </c>
      <c r="C186" s="141" t="s">
        <v>494</v>
      </c>
      <c r="D186" s="113"/>
      <c r="E186" s="113"/>
      <c r="F186" s="113"/>
      <c r="G186" s="113"/>
      <c r="H186" s="114"/>
    </row>
    <row r="187" spans="1:8" ht="40" customHeight="1" x14ac:dyDescent="0.2">
      <c r="A187" s="67"/>
      <c r="B187" s="83" t="s">
        <v>323</v>
      </c>
      <c r="C187" s="141" t="s">
        <v>324</v>
      </c>
      <c r="D187" s="113"/>
      <c r="E187" s="113"/>
      <c r="F187" s="113"/>
      <c r="G187" s="113"/>
      <c r="H187" s="114"/>
    </row>
    <row r="188" spans="1:8" ht="40" customHeight="1" x14ac:dyDescent="0.2">
      <c r="A188" s="67"/>
      <c r="B188" s="83" t="s">
        <v>325</v>
      </c>
      <c r="C188" s="141" t="s">
        <v>326</v>
      </c>
      <c r="D188" s="113"/>
      <c r="E188" s="113"/>
      <c r="F188" s="113"/>
      <c r="G188" s="113"/>
      <c r="H188" s="114"/>
    </row>
    <row r="189" spans="1:8" ht="40" customHeight="1" x14ac:dyDescent="0.2">
      <c r="A189" s="67"/>
      <c r="B189" s="83" t="s">
        <v>327</v>
      </c>
      <c r="C189" s="141" t="s">
        <v>486</v>
      </c>
      <c r="D189" s="141"/>
      <c r="E189" s="141"/>
      <c r="F189" s="141"/>
      <c r="G189" s="141"/>
      <c r="H189" s="142"/>
    </row>
    <row r="190" spans="1:8" ht="40" customHeight="1" x14ac:dyDescent="0.2">
      <c r="A190" s="67"/>
      <c r="B190" s="83" t="s">
        <v>328</v>
      </c>
      <c r="C190" s="141" t="s">
        <v>329</v>
      </c>
      <c r="D190" s="141"/>
      <c r="E190" s="141"/>
      <c r="F190" s="141"/>
      <c r="G190" s="141"/>
      <c r="H190" s="142"/>
    </row>
    <row r="191" spans="1:8" ht="40" customHeight="1" x14ac:dyDescent="0.2">
      <c r="A191" s="67"/>
      <c r="B191" s="83" t="s">
        <v>330</v>
      </c>
      <c r="C191" s="141" t="s">
        <v>331</v>
      </c>
      <c r="D191" s="141"/>
      <c r="E191" s="141"/>
      <c r="F191" s="141"/>
      <c r="G191" s="141"/>
      <c r="H191" s="142"/>
    </row>
    <row r="192" spans="1:8" ht="40" customHeight="1" x14ac:dyDescent="0.2">
      <c r="A192" s="67"/>
      <c r="B192" s="83" t="s">
        <v>332</v>
      </c>
      <c r="C192" s="141" t="s">
        <v>333</v>
      </c>
      <c r="D192" s="141"/>
      <c r="E192" s="141"/>
      <c r="F192" s="141"/>
      <c r="G192" s="141"/>
      <c r="H192" s="142"/>
    </row>
    <row r="193" spans="1:8" ht="40" customHeight="1" x14ac:dyDescent="0.2">
      <c r="A193" s="67"/>
      <c r="B193" s="84" t="s">
        <v>334</v>
      </c>
      <c r="C193" s="143" t="s">
        <v>335</v>
      </c>
      <c r="D193" s="143"/>
      <c r="E193" s="143"/>
      <c r="F193" s="143"/>
      <c r="G193" s="143"/>
      <c r="H193" s="144"/>
    </row>
    <row r="194" spans="1:8" ht="32" customHeight="1" x14ac:dyDescent="0.2">
      <c r="A194" s="67"/>
      <c r="B194" s="145" t="s">
        <v>336</v>
      </c>
      <c r="C194" s="116"/>
      <c r="D194" s="116"/>
      <c r="E194" s="116"/>
      <c r="F194" s="116"/>
      <c r="G194" s="116"/>
      <c r="H194" s="116"/>
    </row>
    <row r="195" spans="1:8" x14ac:dyDescent="0.2">
      <c r="A195" s="67"/>
      <c r="B195" s="67"/>
      <c r="C195" s="67"/>
      <c r="D195" s="67"/>
      <c r="E195" s="67"/>
      <c r="F195" s="67"/>
      <c r="G195" s="67"/>
      <c r="H195" s="67"/>
    </row>
    <row r="196" spans="1:8" ht="20" customHeight="1" x14ac:dyDescent="0.2">
      <c r="A196" s="67"/>
      <c r="B196" s="122" t="s">
        <v>410</v>
      </c>
      <c r="C196" s="116"/>
      <c r="D196" s="116"/>
      <c r="E196" s="116"/>
      <c r="F196" s="116"/>
      <c r="G196" s="116"/>
      <c r="H196" s="116"/>
    </row>
    <row r="197" spans="1:8" ht="30" customHeight="1" x14ac:dyDescent="0.2">
      <c r="A197" s="67"/>
      <c r="B197" s="129" t="s">
        <v>337</v>
      </c>
      <c r="C197" s="116"/>
      <c r="D197" s="116"/>
      <c r="E197" s="116"/>
      <c r="F197" s="116"/>
      <c r="G197" s="116"/>
      <c r="H197" s="116"/>
    </row>
    <row r="198" spans="1:8" x14ac:dyDescent="0.2">
      <c r="A198" s="67"/>
      <c r="B198" s="78" t="s">
        <v>338</v>
      </c>
      <c r="C198" s="130" t="s">
        <v>339</v>
      </c>
      <c r="D198" s="130"/>
      <c r="E198" s="130"/>
      <c r="F198" s="130"/>
      <c r="G198" s="130"/>
      <c r="H198" s="131"/>
    </row>
    <row r="199" spans="1:8" ht="40" customHeight="1" x14ac:dyDescent="0.2">
      <c r="A199" s="67"/>
      <c r="B199" s="83" t="s">
        <v>340</v>
      </c>
      <c r="C199" s="141" t="s">
        <v>341</v>
      </c>
      <c r="D199" s="113"/>
      <c r="E199" s="113"/>
      <c r="F199" s="113"/>
      <c r="G199" s="113"/>
      <c r="H199" s="114"/>
    </row>
    <row r="200" spans="1:8" ht="40" customHeight="1" x14ac:dyDescent="0.2">
      <c r="A200" s="67"/>
      <c r="B200" s="83" t="s">
        <v>0</v>
      </c>
      <c r="C200" s="141" t="s">
        <v>342</v>
      </c>
      <c r="D200" s="113"/>
      <c r="E200" s="113"/>
      <c r="F200" s="113"/>
      <c r="G200" s="113"/>
      <c r="H200" s="114"/>
    </row>
    <row r="201" spans="1:8" ht="40" customHeight="1" x14ac:dyDescent="0.2">
      <c r="A201" s="67"/>
      <c r="B201" s="83" t="s">
        <v>6</v>
      </c>
      <c r="C201" s="141" t="s">
        <v>343</v>
      </c>
      <c r="D201" s="113"/>
      <c r="E201" s="113"/>
      <c r="F201" s="113"/>
      <c r="G201" s="113"/>
      <c r="H201" s="114"/>
    </row>
    <row r="202" spans="1:8" ht="40" customHeight="1" x14ac:dyDescent="0.2">
      <c r="A202" s="67"/>
      <c r="B202" s="83" t="s">
        <v>1</v>
      </c>
      <c r="C202" s="141" t="s">
        <v>344</v>
      </c>
      <c r="D202" s="141"/>
      <c r="E202" s="141"/>
      <c r="F202" s="141"/>
      <c r="G202" s="141"/>
      <c r="H202" s="142"/>
    </row>
    <row r="203" spans="1:8" ht="40" customHeight="1" x14ac:dyDescent="0.2">
      <c r="A203" s="67"/>
      <c r="B203" s="83" t="s">
        <v>345</v>
      </c>
      <c r="C203" s="141" t="s">
        <v>487</v>
      </c>
      <c r="D203" s="141"/>
      <c r="E203" s="141"/>
      <c r="F203" s="141"/>
      <c r="G203" s="141"/>
      <c r="H203" s="142"/>
    </row>
    <row r="204" spans="1:8" ht="40" customHeight="1" x14ac:dyDescent="0.2">
      <c r="A204" s="67"/>
      <c r="B204" s="84" t="s">
        <v>346</v>
      </c>
      <c r="C204" s="143" t="s">
        <v>488</v>
      </c>
      <c r="D204" s="143"/>
      <c r="E204" s="143"/>
      <c r="F204" s="143"/>
      <c r="G204" s="143"/>
      <c r="H204" s="144"/>
    </row>
    <row r="205" spans="1:8" ht="40" customHeight="1" x14ac:dyDescent="0.2">
      <c r="A205" s="67"/>
      <c r="B205" s="182" t="s">
        <v>543</v>
      </c>
      <c r="C205" s="194" t="s">
        <v>544</v>
      </c>
      <c r="D205" s="181"/>
      <c r="E205" s="181"/>
      <c r="F205" s="181"/>
      <c r="G205" s="181"/>
      <c r="H205" s="181"/>
    </row>
    <row r="206" spans="1:8" ht="40" customHeight="1" x14ac:dyDescent="0.2">
      <c r="A206" s="67"/>
      <c r="B206" s="182" t="s">
        <v>545</v>
      </c>
      <c r="C206" s="194" t="s">
        <v>546</v>
      </c>
      <c r="D206" s="181"/>
      <c r="E206" s="181"/>
      <c r="F206" s="181"/>
      <c r="G206" s="181"/>
      <c r="H206" s="181"/>
    </row>
    <row r="209" spans="1:8" ht="20" customHeight="1" x14ac:dyDescent="0.2">
      <c r="A209" s="67"/>
      <c r="B209" s="122" t="s">
        <v>347</v>
      </c>
      <c r="C209" s="116"/>
      <c r="D209" s="116"/>
      <c r="E209" s="116"/>
      <c r="F209" s="116"/>
      <c r="G209" s="116"/>
      <c r="H209" s="116"/>
    </row>
    <row r="210" spans="1:8" ht="28" customHeight="1" x14ac:dyDescent="0.2">
      <c r="A210" s="67"/>
      <c r="B210" s="129" t="s">
        <v>481</v>
      </c>
      <c r="C210" s="116"/>
      <c r="D210" s="116"/>
      <c r="E210" s="116"/>
      <c r="F210" s="116"/>
      <c r="G210" s="116"/>
      <c r="H210" s="116"/>
    </row>
    <row r="211" spans="1:8" x14ac:dyDescent="0.2">
      <c r="A211" s="67"/>
      <c r="B211" s="78" t="s">
        <v>348</v>
      </c>
      <c r="C211" s="130" t="s">
        <v>349</v>
      </c>
      <c r="D211" s="130"/>
      <c r="E211" s="130" t="s">
        <v>350</v>
      </c>
      <c r="F211" s="130"/>
      <c r="G211" s="130"/>
      <c r="H211" s="131"/>
    </row>
    <row r="212" spans="1:8" ht="40" customHeight="1" x14ac:dyDescent="0.2">
      <c r="A212" s="67"/>
      <c r="B212" s="83" t="s">
        <v>351</v>
      </c>
      <c r="C212" s="179" t="s">
        <v>482</v>
      </c>
      <c r="D212" s="140"/>
      <c r="E212" s="141" t="s">
        <v>497</v>
      </c>
      <c r="F212" s="113"/>
      <c r="G212" s="113"/>
      <c r="H212" s="114"/>
    </row>
    <row r="213" spans="1:8" ht="40" customHeight="1" x14ac:dyDescent="0.2">
      <c r="A213" s="67"/>
      <c r="B213" s="83" t="s">
        <v>352</v>
      </c>
      <c r="C213" s="141" t="s">
        <v>483</v>
      </c>
      <c r="D213" s="113"/>
      <c r="E213" s="141" t="s">
        <v>396</v>
      </c>
      <c r="F213" s="113"/>
      <c r="G213" s="113"/>
      <c r="H213" s="114"/>
    </row>
    <row r="214" spans="1:8" ht="40" customHeight="1" x14ac:dyDescent="0.2">
      <c r="A214" s="67"/>
      <c r="B214" s="83" t="s">
        <v>353</v>
      </c>
      <c r="C214" s="141" t="s">
        <v>484</v>
      </c>
      <c r="D214" s="113"/>
      <c r="E214" s="141" t="s">
        <v>354</v>
      </c>
      <c r="F214" s="113"/>
      <c r="G214" s="113"/>
      <c r="H214" s="114"/>
    </row>
    <row r="215" spans="1:8" ht="40" customHeight="1" x14ac:dyDescent="0.2">
      <c r="A215" s="67"/>
      <c r="B215" s="90" t="s">
        <v>355</v>
      </c>
      <c r="C215" s="135" t="s">
        <v>485</v>
      </c>
      <c r="D215" s="136"/>
      <c r="E215" s="135" t="s">
        <v>356</v>
      </c>
      <c r="F215" s="135"/>
      <c r="G215" s="135"/>
      <c r="H215" s="137"/>
    </row>
    <row r="216" spans="1:8" ht="88" customHeight="1" x14ac:dyDescent="0.2">
      <c r="A216" s="67"/>
      <c r="B216" s="92" t="s">
        <v>357</v>
      </c>
      <c r="C216" s="138" t="s">
        <v>559</v>
      </c>
      <c r="D216" s="110"/>
      <c r="E216" s="110"/>
      <c r="F216" s="110"/>
      <c r="G216" s="110"/>
      <c r="H216" s="110"/>
    </row>
    <row r="217" spans="1:8" ht="76" customHeight="1" x14ac:dyDescent="0.2">
      <c r="A217" s="67"/>
      <c r="B217" s="87" t="s">
        <v>358</v>
      </c>
      <c r="C217" s="121" t="s">
        <v>359</v>
      </c>
      <c r="D217" s="112"/>
      <c r="E217" s="112"/>
      <c r="F217" s="112"/>
      <c r="G217" s="112"/>
      <c r="H217" s="112"/>
    </row>
    <row r="218" spans="1:8" x14ac:dyDescent="0.2">
      <c r="A218" s="67"/>
      <c r="B218" s="67"/>
      <c r="C218" s="67"/>
      <c r="D218" s="67"/>
      <c r="E218" s="67"/>
      <c r="F218" s="67"/>
      <c r="G218" s="67"/>
      <c r="H218" s="67"/>
    </row>
    <row r="219" spans="1:8" ht="20" customHeight="1" x14ac:dyDescent="0.2">
      <c r="A219" s="67"/>
      <c r="B219" s="122" t="s">
        <v>360</v>
      </c>
      <c r="C219" s="116"/>
      <c r="D219" s="116"/>
      <c r="E219" s="116"/>
      <c r="F219" s="116"/>
      <c r="G219" s="116"/>
      <c r="H219" s="116"/>
    </row>
    <row r="220" spans="1:8" x14ac:dyDescent="0.2">
      <c r="A220" s="67"/>
      <c r="B220" s="139" t="s">
        <v>361</v>
      </c>
      <c r="C220" s="116"/>
      <c r="D220" s="116"/>
      <c r="E220" s="116"/>
      <c r="F220" s="116"/>
      <c r="G220" s="116"/>
      <c r="H220" s="116"/>
    </row>
    <row r="221" spans="1:8" ht="64" customHeight="1" x14ac:dyDescent="0.2">
      <c r="A221" s="67"/>
      <c r="B221" s="86" t="s">
        <v>362</v>
      </c>
      <c r="C221" s="118" t="s">
        <v>478</v>
      </c>
      <c r="D221" s="116"/>
      <c r="E221" s="116"/>
      <c r="F221" s="116"/>
      <c r="G221" s="116"/>
      <c r="H221" s="116"/>
    </row>
    <row r="222" spans="1:8" x14ac:dyDescent="0.2">
      <c r="A222" s="67"/>
      <c r="B222" s="132" t="s">
        <v>363</v>
      </c>
      <c r="C222" s="120"/>
      <c r="D222" s="120"/>
      <c r="E222" s="120"/>
      <c r="F222" s="120"/>
      <c r="G222" s="120"/>
      <c r="H222" s="120"/>
    </row>
    <row r="223" spans="1:8" ht="105" customHeight="1" x14ac:dyDescent="0.2">
      <c r="A223" s="67"/>
      <c r="B223" s="85" t="s">
        <v>364</v>
      </c>
      <c r="C223" s="133" t="s">
        <v>495</v>
      </c>
      <c r="D223" s="134"/>
      <c r="E223" s="134"/>
      <c r="F223" s="134"/>
      <c r="G223" s="134"/>
      <c r="H223" s="134"/>
    </row>
    <row r="224" spans="1:8" x14ac:dyDescent="0.2">
      <c r="A224" s="67"/>
      <c r="B224" s="132" t="s">
        <v>365</v>
      </c>
      <c r="C224" s="120"/>
      <c r="D224" s="120"/>
      <c r="E224" s="120"/>
      <c r="F224" s="120"/>
      <c r="G224" s="120"/>
      <c r="H224" s="120"/>
    </row>
    <row r="225" spans="1:8" ht="96" customHeight="1" x14ac:dyDescent="0.2">
      <c r="A225" s="67"/>
      <c r="B225" s="93" t="s">
        <v>366</v>
      </c>
      <c r="C225" s="180" t="s">
        <v>496</v>
      </c>
      <c r="D225" s="134"/>
      <c r="E225" s="134"/>
      <c r="F225" s="134"/>
      <c r="G225" s="134"/>
      <c r="H225" s="134"/>
    </row>
    <row r="226" spans="1:8" x14ac:dyDescent="0.2">
      <c r="A226" s="67"/>
      <c r="B226" s="67"/>
      <c r="C226" s="67"/>
      <c r="D226" s="67"/>
      <c r="E226" s="67"/>
      <c r="F226" s="67"/>
      <c r="G226" s="67"/>
      <c r="H226" s="67"/>
    </row>
    <row r="227" spans="1:8" ht="20" customHeight="1" x14ac:dyDescent="0.2">
      <c r="A227" s="67"/>
      <c r="B227" s="122" t="s">
        <v>367</v>
      </c>
      <c r="C227" s="116"/>
      <c r="D227" s="116"/>
      <c r="E227" s="116"/>
      <c r="F227" s="116"/>
      <c r="G227" s="116"/>
      <c r="H227" s="116"/>
    </row>
    <row r="228" spans="1:8" ht="28" customHeight="1" x14ac:dyDescent="0.2">
      <c r="A228" s="67"/>
      <c r="B228" s="129" t="s">
        <v>498</v>
      </c>
      <c r="C228" s="116"/>
      <c r="D228" s="116"/>
      <c r="E228" s="116"/>
      <c r="F228" s="116"/>
      <c r="G228" s="116"/>
      <c r="H228" s="116"/>
    </row>
    <row r="229" spans="1:8" x14ac:dyDescent="0.2">
      <c r="A229" s="67"/>
      <c r="B229" s="78" t="s">
        <v>159</v>
      </c>
      <c r="C229" s="130" t="s">
        <v>368</v>
      </c>
      <c r="D229" s="130"/>
      <c r="E229" s="130"/>
      <c r="F229" s="130" t="s">
        <v>369</v>
      </c>
      <c r="G229" s="130"/>
      <c r="H229" s="131"/>
    </row>
    <row r="230" spans="1:8" ht="30" customHeight="1" x14ac:dyDescent="0.2">
      <c r="A230" s="67"/>
      <c r="B230" s="83" t="s">
        <v>370</v>
      </c>
      <c r="C230" s="123" t="s">
        <v>371</v>
      </c>
      <c r="D230" s="123"/>
      <c r="E230" s="123"/>
      <c r="F230" s="124" t="s">
        <v>372</v>
      </c>
      <c r="G230" s="124"/>
      <c r="H230" s="125"/>
    </row>
    <row r="231" spans="1:8" ht="30" customHeight="1" x14ac:dyDescent="0.2">
      <c r="A231" s="67"/>
      <c r="B231" s="83" t="s">
        <v>373</v>
      </c>
      <c r="C231" s="123" t="s">
        <v>374</v>
      </c>
      <c r="D231" s="123"/>
      <c r="E231" s="123"/>
      <c r="F231" s="124" t="s">
        <v>375</v>
      </c>
      <c r="G231" s="124"/>
      <c r="H231" s="125"/>
    </row>
    <row r="232" spans="1:8" ht="30" customHeight="1" x14ac:dyDescent="0.2">
      <c r="A232" s="67"/>
      <c r="B232" s="83" t="s">
        <v>376</v>
      </c>
      <c r="C232" s="123" t="s">
        <v>377</v>
      </c>
      <c r="D232" s="123"/>
      <c r="E232" s="123"/>
      <c r="F232" s="124" t="s">
        <v>378</v>
      </c>
      <c r="G232" s="124"/>
      <c r="H232" s="125"/>
    </row>
    <row r="233" spans="1:8" ht="30" customHeight="1" x14ac:dyDescent="0.2">
      <c r="A233" s="67"/>
      <c r="B233" s="83" t="s">
        <v>379</v>
      </c>
      <c r="C233" s="123" t="s">
        <v>380</v>
      </c>
      <c r="D233" s="123"/>
      <c r="E233" s="123"/>
      <c r="F233" s="124" t="s">
        <v>381</v>
      </c>
      <c r="G233" s="124"/>
      <c r="H233" s="125"/>
    </row>
    <row r="234" spans="1:8" ht="30" customHeight="1" x14ac:dyDescent="0.2">
      <c r="A234" s="67"/>
      <c r="B234" s="83" t="s">
        <v>382</v>
      </c>
      <c r="C234" s="123" t="s">
        <v>383</v>
      </c>
      <c r="D234" s="123"/>
      <c r="E234" s="123"/>
      <c r="F234" s="124" t="s">
        <v>384</v>
      </c>
      <c r="G234" s="124"/>
      <c r="H234" s="125"/>
    </row>
    <row r="235" spans="1:8" ht="30" customHeight="1" x14ac:dyDescent="0.2">
      <c r="A235" s="67"/>
      <c r="B235" s="83" t="s">
        <v>385</v>
      </c>
      <c r="C235" s="123" t="s">
        <v>386</v>
      </c>
      <c r="D235" s="123"/>
      <c r="E235" s="123"/>
      <c r="F235" s="124" t="s">
        <v>387</v>
      </c>
      <c r="G235" s="124"/>
      <c r="H235" s="125"/>
    </row>
    <row r="236" spans="1:8" ht="30" customHeight="1" x14ac:dyDescent="0.2">
      <c r="A236" s="67"/>
      <c r="B236" s="84" t="s">
        <v>388</v>
      </c>
      <c r="C236" s="126" t="s">
        <v>389</v>
      </c>
      <c r="D236" s="126"/>
      <c r="E236" s="126"/>
      <c r="F236" s="127" t="s">
        <v>390</v>
      </c>
      <c r="G236" s="127"/>
      <c r="H236" s="128"/>
    </row>
    <row r="237" spans="1:8" x14ac:dyDescent="0.2">
      <c r="A237" s="67"/>
      <c r="B237" s="67"/>
      <c r="C237" s="67"/>
      <c r="D237" s="67"/>
      <c r="E237" s="67"/>
      <c r="F237" s="67"/>
      <c r="G237" s="67"/>
      <c r="H237" s="67"/>
    </row>
    <row r="238" spans="1:8" x14ac:dyDescent="0.2">
      <c r="A238" s="67"/>
      <c r="B238" s="115" t="s">
        <v>391</v>
      </c>
      <c r="C238" s="116"/>
      <c r="D238" s="116"/>
      <c r="E238" s="116"/>
      <c r="F238" s="116"/>
      <c r="G238" s="116"/>
      <c r="H238" s="116"/>
    </row>
    <row r="239" spans="1:8" x14ac:dyDescent="0.2">
      <c r="A239" s="67"/>
      <c r="B239" s="67"/>
      <c r="C239" s="67"/>
      <c r="D239" s="67"/>
      <c r="E239" s="67"/>
      <c r="F239" s="67"/>
      <c r="G239" s="67"/>
      <c r="H239" s="67"/>
    </row>
    <row r="240" spans="1:8" x14ac:dyDescent="0.2">
      <c r="A240" s="67"/>
      <c r="B240" s="67"/>
      <c r="C240" s="67"/>
      <c r="D240" s="67"/>
      <c r="E240" s="67"/>
      <c r="F240" s="67"/>
      <c r="G240" s="67"/>
      <c r="H240" s="67"/>
    </row>
    <row r="241" spans="1:8" x14ac:dyDescent="0.2">
      <c r="A241" s="67"/>
      <c r="B241" s="67"/>
      <c r="C241" s="67"/>
      <c r="D241" s="67"/>
      <c r="E241" s="67"/>
      <c r="F241" s="67"/>
      <c r="G241" s="67"/>
      <c r="H241" s="67"/>
    </row>
    <row r="242" spans="1:8" x14ac:dyDescent="0.2">
      <c r="A242" s="67"/>
      <c r="B242" s="67"/>
      <c r="C242" s="67"/>
      <c r="D242" s="67"/>
      <c r="E242" s="67"/>
      <c r="F242" s="67"/>
      <c r="G242" s="67"/>
      <c r="H242" s="67"/>
    </row>
    <row r="243" spans="1:8" x14ac:dyDescent="0.2">
      <c r="A243" s="67"/>
      <c r="B243" s="67"/>
      <c r="C243" s="67"/>
      <c r="D243" s="67"/>
      <c r="E243" s="67"/>
      <c r="F243" s="67"/>
      <c r="G243" s="67"/>
      <c r="H243" s="67"/>
    </row>
    <row r="244" spans="1:8" x14ac:dyDescent="0.2">
      <c r="A244" s="67"/>
      <c r="B244" s="67"/>
      <c r="C244" s="67"/>
      <c r="D244" s="67"/>
      <c r="E244" s="67"/>
      <c r="F244" s="67"/>
      <c r="G244" s="67"/>
      <c r="H244" s="67"/>
    </row>
    <row r="245" spans="1:8" x14ac:dyDescent="0.2">
      <c r="A245" s="67"/>
      <c r="B245" s="67"/>
      <c r="C245" s="67"/>
      <c r="D245" s="67"/>
      <c r="E245" s="67"/>
      <c r="F245" s="67"/>
      <c r="G245" s="67"/>
      <c r="H245" s="67"/>
    </row>
    <row r="246" spans="1:8" x14ac:dyDescent="0.2">
      <c r="A246" s="67"/>
      <c r="B246" s="67"/>
      <c r="C246" s="67"/>
      <c r="D246" s="67"/>
      <c r="E246" s="67"/>
      <c r="F246" s="67"/>
      <c r="G246" s="67"/>
      <c r="H246" s="67"/>
    </row>
    <row r="247" spans="1:8" x14ac:dyDescent="0.2">
      <c r="A247" s="67"/>
      <c r="B247" s="67"/>
      <c r="C247" s="67"/>
      <c r="D247" s="67"/>
      <c r="E247" s="67"/>
      <c r="F247" s="67"/>
      <c r="G247" s="67"/>
      <c r="H247" s="67"/>
    </row>
    <row r="248" spans="1:8" x14ac:dyDescent="0.2">
      <c r="A248" s="67"/>
      <c r="B248" s="67"/>
      <c r="C248" s="67"/>
      <c r="D248" s="67"/>
      <c r="E248" s="67"/>
      <c r="F248" s="67"/>
      <c r="G248" s="67"/>
      <c r="H248" s="67"/>
    </row>
    <row r="249" spans="1:8" x14ac:dyDescent="0.2">
      <c r="A249" s="67"/>
      <c r="B249" s="67"/>
      <c r="C249" s="67"/>
      <c r="D249" s="67"/>
      <c r="E249" s="67"/>
      <c r="F249" s="67"/>
      <c r="G249" s="67"/>
      <c r="H249" s="67"/>
    </row>
    <row r="250" spans="1:8" x14ac:dyDescent="0.2">
      <c r="A250" s="67"/>
      <c r="B250" s="67"/>
      <c r="C250" s="67"/>
      <c r="D250" s="67"/>
      <c r="E250" s="67"/>
      <c r="F250" s="67"/>
      <c r="G250" s="67"/>
      <c r="H250" s="67"/>
    </row>
    <row r="251" spans="1:8" x14ac:dyDescent="0.2">
      <c r="A251" s="67"/>
      <c r="B251" s="67"/>
      <c r="C251" s="67"/>
      <c r="D251" s="67"/>
      <c r="E251" s="67"/>
      <c r="F251" s="67"/>
      <c r="G251" s="67"/>
      <c r="H251" s="67"/>
    </row>
    <row r="252" spans="1:8" x14ac:dyDescent="0.2">
      <c r="A252" s="67"/>
      <c r="B252" s="67"/>
      <c r="C252" s="67"/>
      <c r="D252" s="67"/>
      <c r="E252" s="67"/>
      <c r="F252" s="67"/>
      <c r="G252" s="67"/>
      <c r="H252" s="67"/>
    </row>
    <row r="253" spans="1:8" x14ac:dyDescent="0.2">
      <c r="A253" s="67"/>
      <c r="B253" s="67"/>
      <c r="C253" s="67"/>
      <c r="D253" s="67"/>
      <c r="E253" s="67"/>
      <c r="F253" s="67"/>
      <c r="G253" s="67"/>
      <c r="H253" s="67"/>
    </row>
    <row r="254" spans="1:8" x14ac:dyDescent="0.2">
      <c r="A254" s="67"/>
      <c r="B254" s="67"/>
      <c r="C254" s="67"/>
      <c r="D254" s="67"/>
      <c r="E254" s="67"/>
      <c r="F254" s="67"/>
      <c r="G254" s="67"/>
      <c r="H254" s="67"/>
    </row>
    <row r="255" spans="1:8" x14ac:dyDescent="0.2">
      <c r="A255" s="67"/>
      <c r="B255" s="67"/>
      <c r="C255" s="67"/>
      <c r="D255" s="67"/>
      <c r="E255" s="67"/>
      <c r="F255" s="67"/>
      <c r="G255" s="67"/>
      <c r="H255" s="67"/>
    </row>
    <row r="256" spans="1:8" x14ac:dyDescent="0.2">
      <c r="A256" s="67"/>
      <c r="B256" s="67"/>
      <c r="C256" s="67"/>
      <c r="D256" s="67"/>
      <c r="E256" s="67"/>
      <c r="F256" s="67"/>
      <c r="G256" s="67"/>
      <c r="H256" s="67"/>
    </row>
    <row r="257" spans="1:8" x14ac:dyDescent="0.2">
      <c r="A257" s="67"/>
      <c r="B257" s="67"/>
      <c r="C257" s="67"/>
      <c r="D257" s="67"/>
      <c r="E257" s="67"/>
      <c r="F257" s="67"/>
      <c r="G257" s="67"/>
      <c r="H257" s="67"/>
    </row>
    <row r="258" spans="1:8" x14ac:dyDescent="0.2">
      <c r="A258" s="67"/>
      <c r="B258" s="67"/>
      <c r="C258" s="67"/>
      <c r="D258" s="67"/>
      <c r="E258" s="67"/>
      <c r="F258" s="67"/>
      <c r="G258" s="67"/>
      <c r="H258" s="67"/>
    </row>
    <row r="259" spans="1:8" x14ac:dyDescent="0.2">
      <c r="A259" s="67"/>
      <c r="B259" s="67"/>
      <c r="C259" s="67"/>
      <c r="D259" s="67"/>
      <c r="E259" s="67"/>
      <c r="F259" s="67"/>
      <c r="G259" s="67"/>
      <c r="H259" s="67"/>
    </row>
    <row r="260" spans="1:8" x14ac:dyDescent="0.2">
      <c r="A260" s="67"/>
      <c r="B260" s="67"/>
      <c r="C260" s="67"/>
      <c r="D260" s="67"/>
      <c r="E260" s="67"/>
      <c r="F260" s="67"/>
      <c r="G260" s="67"/>
      <c r="H260" s="67"/>
    </row>
    <row r="261" spans="1:8" x14ac:dyDescent="0.2">
      <c r="A261" s="67"/>
      <c r="B261" s="67"/>
      <c r="C261" s="67"/>
      <c r="D261" s="67"/>
      <c r="E261" s="67"/>
      <c r="F261" s="67"/>
      <c r="G261" s="67"/>
      <c r="H261" s="67"/>
    </row>
    <row r="262" spans="1:8" x14ac:dyDescent="0.2">
      <c r="A262" s="67"/>
      <c r="B262" s="67"/>
      <c r="C262" s="67"/>
      <c r="D262" s="67"/>
      <c r="E262" s="67"/>
      <c r="F262" s="67"/>
      <c r="G262" s="67"/>
      <c r="H262" s="67"/>
    </row>
    <row r="263" spans="1:8" x14ac:dyDescent="0.2">
      <c r="A263" s="67"/>
      <c r="B263" s="67"/>
      <c r="C263" s="67"/>
      <c r="D263" s="67"/>
      <c r="E263" s="67"/>
      <c r="F263" s="67"/>
      <c r="G263" s="67"/>
      <c r="H263" s="67"/>
    </row>
    <row r="264" spans="1:8" x14ac:dyDescent="0.2">
      <c r="A264" s="67"/>
      <c r="B264" s="67"/>
      <c r="C264" s="67"/>
      <c r="D264" s="67"/>
      <c r="E264" s="67"/>
      <c r="F264" s="67"/>
      <c r="G264" s="67"/>
      <c r="H264" s="67"/>
    </row>
    <row r="265" spans="1:8" x14ac:dyDescent="0.2">
      <c r="A265" s="67"/>
      <c r="B265" s="67"/>
      <c r="C265" s="67"/>
      <c r="D265" s="67"/>
      <c r="E265" s="67"/>
      <c r="F265" s="67"/>
      <c r="G265" s="67"/>
      <c r="H265" s="67"/>
    </row>
    <row r="266" spans="1:8" x14ac:dyDescent="0.2">
      <c r="A266" s="67"/>
      <c r="B266" s="67"/>
      <c r="C266" s="67"/>
      <c r="D266" s="67"/>
      <c r="E266" s="67"/>
      <c r="F266" s="67"/>
      <c r="G266" s="67"/>
      <c r="H266" s="67"/>
    </row>
    <row r="267" spans="1:8" x14ac:dyDescent="0.2">
      <c r="A267" s="67"/>
      <c r="B267" s="67"/>
      <c r="C267" s="67"/>
      <c r="D267" s="67"/>
      <c r="E267" s="67"/>
      <c r="F267" s="67"/>
      <c r="G267" s="67"/>
      <c r="H267" s="67"/>
    </row>
    <row r="268" spans="1:8" x14ac:dyDescent="0.2">
      <c r="A268" s="67"/>
      <c r="B268" s="67"/>
      <c r="C268" s="67"/>
      <c r="D268" s="67"/>
      <c r="E268" s="67"/>
      <c r="F268" s="67"/>
      <c r="G268" s="67"/>
      <c r="H268" s="67"/>
    </row>
    <row r="269" spans="1:8" x14ac:dyDescent="0.2">
      <c r="A269" s="67"/>
      <c r="B269" s="67"/>
      <c r="C269" s="67"/>
      <c r="D269" s="67"/>
      <c r="E269" s="67"/>
      <c r="F269" s="67"/>
      <c r="G269" s="67"/>
      <c r="H269" s="67"/>
    </row>
    <row r="270" spans="1:8" x14ac:dyDescent="0.2">
      <c r="A270" s="67"/>
      <c r="B270" s="67"/>
      <c r="C270" s="67"/>
      <c r="D270" s="67"/>
      <c r="E270" s="67"/>
      <c r="F270" s="67"/>
      <c r="G270" s="67"/>
      <c r="H270" s="67"/>
    </row>
    <row r="271" spans="1:8" x14ac:dyDescent="0.2">
      <c r="A271" s="67"/>
      <c r="B271" s="67"/>
      <c r="C271" s="67"/>
      <c r="D271" s="67"/>
      <c r="E271" s="67"/>
      <c r="F271" s="67"/>
      <c r="G271" s="67"/>
      <c r="H271" s="67"/>
    </row>
    <row r="272" spans="1:8" x14ac:dyDescent="0.2">
      <c r="A272" s="67"/>
      <c r="B272" s="67"/>
      <c r="C272" s="67"/>
      <c r="D272" s="67"/>
      <c r="E272" s="67"/>
      <c r="F272" s="67"/>
      <c r="G272" s="67"/>
      <c r="H272" s="67"/>
    </row>
    <row r="273" spans="1:8" x14ac:dyDescent="0.2">
      <c r="A273" s="67"/>
      <c r="B273" s="67"/>
      <c r="C273" s="67"/>
      <c r="D273" s="67"/>
      <c r="E273" s="67"/>
      <c r="F273" s="67"/>
      <c r="G273" s="67"/>
      <c r="H273" s="67"/>
    </row>
    <row r="274" spans="1:8" x14ac:dyDescent="0.2">
      <c r="A274" s="67"/>
      <c r="B274" s="67"/>
      <c r="C274" s="67"/>
      <c r="D274" s="67"/>
      <c r="E274" s="67"/>
      <c r="F274" s="67"/>
      <c r="G274" s="67"/>
      <c r="H274" s="67"/>
    </row>
    <row r="275" spans="1:8" x14ac:dyDescent="0.2">
      <c r="A275" s="67"/>
      <c r="B275" s="67"/>
      <c r="C275" s="67"/>
      <c r="D275" s="67"/>
      <c r="E275" s="67"/>
      <c r="F275" s="67"/>
      <c r="G275" s="67"/>
      <c r="H275" s="67"/>
    </row>
    <row r="276" spans="1:8" x14ac:dyDescent="0.2">
      <c r="A276" s="67"/>
      <c r="B276" s="67"/>
      <c r="C276" s="67"/>
      <c r="D276" s="67"/>
      <c r="E276" s="67"/>
      <c r="F276" s="67"/>
      <c r="G276" s="67"/>
      <c r="H276" s="67"/>
    </row>
    <row r="277" spans="1:8" x14ac:dyDescent="0.2">
      <c r="A277" s="67"/>
      <c r="B277" s="67"/>
      <c r="C277" s="67"/>
      <c r="D277" s="67"/>
      <c r="E277" s="67"/>
      <c r="F277" s="67"/>
      <c r="G277" s="67"/>
      <c r="H277" s="67"/>
    </row>
    <row r="278" spans="1:8" x14ac:dyDescent="0.2">
      <c r="A278" s="67"/>
      <c r="B278" s="67"/>
      <c r="C278" s="67"/>
      <c r="D278" s="67"/>
      <c r="E278" s="67"/>
      <c r="F278" s="67"/>
      <c r="G278" s="67"/>
      <c r="H278" s="67"/>
    </row>
    <row r="279" spans="1:8" x14ac:dyDescent="0.2">
      <c r="A279" s="67"/>
      <c r="B279" s="67"/>
      <c r="C279" s="67"/>
      <c r="D279" s="67"/>
      <c r="E279" s="67"/>
      <c r="F279" s="67"/>
      <c r="G279" s="67"/>
      <c r="H279" s="67"/>
    </row>
    <row r="280" spans="1:8" x14ac:dyDescent="0.2">
      <c r="A280" s="67"/>
      <c r="B280" s="67"/>
      <c r="C280" s="67"/>
      <c r="D280" s="67"/>
      <c r="E280" s="67"/>
      <c r="F280" s="67"/>
      <c r="G280" s="67"/>
      <c r="H280" s="67"/>
    </row>
    <row r="281" spans="1:8" x14ac:dyDescent="0.2">
      <c r="A281" s="67"/>
      <c r="B281" s="67"/>
      <c r="C281" s="67"/>
      <c r="D281" s="67"/>
      <c r="E281" s="67"/>
      <c r="F281" s="67"/>
      <c r="G281" s="67"/>
      <c r="H281" s="67"/>
    </row>
    <row r="282" spans="1:8" x14ac:dyDescent="0.2">
      <c r="A282" s="67"/>
      <c r="B282" s="67"/>
      <c r="C282" s="67"/>
      <c r="D282" s="67"/>
      <c r="E282" s="67"/>
      <c r="F282" s="67"/>
      <c r="G282" s="67"/>
      <c r="H282" s="67"/>
    </row>
    <row r="283" spans="1:8" x14ac:dyDescent="0.2">
      <c r="A283" s="67"/>
      <c r="B283" s="67"/>
      <c r="C283" s="67"/>
      <c r="D283" s="67"/>
      <c r="E283" s="67"/>
      <c r="F283" s="67"/>
      <c r="G283" s="67"/>
      <c r="H283" s="67"/>
    </row>
    <row r="284" spans="1:8" x14ac:dyDescent="0.2">
      <c r="A284" s="67"/>
      <c r="B284" s="67"/>
      <c r="C284" s="67"/>
      <c r="D284" s="67"/>
      <c r="E284" s="67"/>
      <c r="F284" s="67"/>
      <c r="G284" s="67"/>
      <c r="H284" s="67"/>
    </row>
    <row r="285" spans="1:8" x14ac:dyDescent="0.2">
      <c r="A285" s="67"/>
      <c r="B285" s="67"/>
      <c r="C285" s="67"/>
      <c r="D285" s="67"/>
      <c r="E285" s="67"/>
      <c r="F285" s="67"/>
      <c r="G285" s="67"/>
      <c r="H285" s="67"/>
    </row>
    <row r="286" spans="1:8" x14ac:dyDescent="0.2">
      <c r="A286" s="67"/>
      <c r="B286" s="67"/>
      <c r="C286" s="67"/>
      <c r="D286" s="67"/>
      <c r="E286" s="67"/>
      <c r="F286" s="67"/>
      <c r="G286" s="67"/>
      <c r="H286" s="67"/>
    </row>
    <row r="287" spans="1:8" x14ac:dyDescent="0.2">
      <c r="A287" s="67"/>
      <c r="B287" s="67"/>
      <c r="C287" s="67"/>
      <c r="D287" s="67"/>
      <c r="E287" s="67"/>
      <c r="F287" s="67"/>
      <c r="G287" s="67"/>
      <c r="H287" s="67"/>
    </row>
    <row r="288" spans="1:8" x14ac:dyDescent="0.2">
      <c r="A288" s="67"/>
      <c r="B288" s="67"/>
      <c r="C288" s="67"/>
      <c r="D288" s="67"/>
      <c r="E288" s="67"/>
      <c r="F288" s="67"/>
      <c r="G288" s="67"/>
      <c r="H288" s="67"/>
    </row>
    <row r="289" spans="1:8" x14ac:dyDescent="0.2">
      <c r="A289" s="67"/>
      <c r="B289" s="67"/>
      <c r="C289" s="67"/>
      <c r="D289" s="67"/>
      <c r="E289" s="67"/>
      <c r="F289" s="67"/>
      <c r="G289" s="67"/>
      <c r="H289" s="67"/>
    </row>
    <row r="290" spans="1:8" x14ac:dyDescent="0.2">
      <c r="A290" s="67"/>
      <c r="B290" s="67"/>
      <c r="C290" s="67"/>
      <c r="D290" s="67"/>
      <c r="E290" s="67"/>
      <c r="F290" s="67"/>
      <c r="G290" s="67"/>
      <c r="H290" s="67"/>
    </row>
    <row r="291" spans="1:8" x14ac:dyDescent="0.2">
      <c r="A291" s="67"/>
      <c r="B291" s="67"/>
      <c r="C291" s="67"/>
      <c r="D291" s="67"/>
      <c r="E291" s="67"/>
      <c r="F291" s="67"/>
      <c r="G291" s="67"/>
      <c r="H291" s="67"/>
    </row>
    <row r="292" spans="1:8" x14ac:dyDescent="0.2">
      <c r="A292" s="67"/>
      <c r="B292" s="67"/>
      <c r="C292" s="67"/>
      <c r="D292" s="67"/>
      <c r="E292" s="67"/>
      <c r="F292" s="67"/>
      <c r="G292" s="67"/>
      <c r="H292" s="67"/>
    </row>
    <row r="293" spans="1:8" x14ac:dyDescent="0.2">
      <c r="A293" s="67"/>
      <c r="B293" s="67"/>
      <c r="C293" s="67"/>
      <c r="D293" s="67"/>
      <c r="E293" s="67"/>
      <c r="F293" s="67"/>
      <c r="G293" s="67"/>
      <c r="H293" s="67"/>
    </row>
    <row r="294" spans="1:8" x14ac:dyDescent="0.2">
      <c r="A294" s="67"/>
      <c r="B294" s="67"/>
      <c r="C294" s="67"/>
      <c r="D294" s="67"/>
      <c r="E294" s="67"/>
      <c r="F294" s="67"/>
      <c r="G294" s="67"/>
      <c r="H294" s="67"/>
    </row>
    <row r="295" spans="1:8" x14ac:dyDescent="0.2">
      <c r="A295" s="67"/>
      <c r="B295" s="67"/>
      <c r="C295" s="67"/>
      <c r="D295" s="67"/>
      <c r="E295" s="67"/>
      <c r="F295" s="67"/>
      <c r="G295" s="67"/>
      <c r="H295" s="67"/>
    </row>
    <row r="296" spans="1:8" x14ac:dyDescent="0.2">
      <c r="A296" s="67"/>
      <c r="B296" s="67"/>
      <c r="C296" s="67"/>
      <c r="D296" s="67"/>
      <c r="E296" s="67"/>
      <c r="F296" s="67"/>
      <c r="G296" s="67"/>
      <c r="H296" s="67"/>
    </row>
    <row r="297" spans="1:8" x14ac:dyDescent="0.2">
      <c r="A297" s="67"/>
      <c r="B297" s="67"/>
      <c r="C297" s="67"/>
      <c r="D297" s="67"/>
      <c r="E297" s="67"/>
      <c r="F297" s="67"/>
      <c r="G297" s="67"/>
      <c r="H297" s="67"/>
    </row>
    <row r="298" spans="1:8" x14ac:dyDescent="0.2">
      <c r="A298" s="67"/>
      <c r="B298" s="67"/>
      <c r="C298" s="67"/>
      <c r="D298" s="67"/>
      <c r="E298" s="67"/>
      <c r="F298" s="67"/>
      <c r="G298" s="67"/>
      <c r="H298" s="67"/>
    </row>
    <row r="299" spans="1:8" x14ac:dyDescent="0.2">
      <c r="A299" s="67"/>
      <c r="B299" s="67"/>
      <c r="C299" s="67"/>
      <c r="D299" s="67"/>
      <c r="E299" s="67"/>
      <c r="F299" s="67"/>
      <c r="G299" s="67"/>
      <c r="H299" s="67"/>
    </row>
    <row r="300" spans="1:8" x14ac:dyDescent="0.2">
      <c r="A300" s="67"/>
      <c r="B300" s="67"/>
      <c r="C300" s="67"/>
      <c r="D300" s="67"/>
      <c r="E300" s="67"/>
      <c r="F300" s="67"/>
      <c r="G300" s="67"/>
      <c r="H300" s="67"/>
    </row>
    <row r="301" spans="1:8" x14ac:dyDescent="0.2">
      <c r="A301" s="67"/>
      <c r="B301" s="67"/>
      <c r="C301" s="67"/>
      <c r="D301" s="67"/>
      <c r="E301" s="67"/>
      <c r="F301" s="67"/>
      <c r="G301" s="67"/>
      <c r="H301" s="67"/>
    </row>
    <row r="302" spans="1:8" x14ac:dyDescent="0.2">
      <c r="A302" s="67"/>
      <c r="B302" s="67"/>
      <c r="C302" s="67"/>
      <c r="D302" s="67"/>
      <c r="E302" s="67"/>
      <c r="F302" s="67"/>
      <c r="G302" s="67"/>
      <c r="H302" s="67"/>
    </row>
    <row r="303" spans="1:8" x14ac:dyDescent="0.2">
      <c r="A303" s="67"/>
      <c r="B303" s="67"/>
      <c r="C303" s="67"/>
      <c r="D303" s="67"/>
      <c r="E303" s="67"/>
      <c r="F303" s="67"/>
      <c r="G303" s="67"/>
      <c r="H303" s="67"/>
    </row>
    <row r="304" spans="1:8" x14ac:dyDescent="0.2">
      <c r="A304" s="67"/>
      <c r="B304" s="67"/>
      <c r="C304" s="67"/>
      <c r="D304" s="67"/>
      <c r="E304" s="67"/>
      <c r="F304" s="67"/>
      <c r="G304" s="67"/>
      <c r="H304" s="67"/>
    </row>
    <row r="305" spans="1:8" x14ac:dyDescent="0.2">
      <c r="A305" s="67"/>
      <c r="B305" s="67"/>
      <c r="C305" s="67"/>
      <c r="D305" s="67"/>
      <c r="E305" s="67"/>
      <c r="F305" s="67"/>
      <c r="G305" s="67"/>
      <c r="H305" s="67"/>
    </row>
    <row r="306" spans="1:8" x14ac:dyDescent="0.2">
      <c r="A306" s="67"/>
      <c r="B306" s="67"/>
      <c r="C306" s="67"/>
      <c r="D306" s="67"/>
      <c r="E306" s="67"/>
      <c r="F306" s="67"/>
      <c r="G306" s="67"/>
      <c r="H306" s="67"/>
    </row>
    <row r="307" spans="1:8" x14ac:dyDescent="0.2">
      <c r="A307" s="67"/>
      <c r="B307" s="67"/>
      <c r="C307" s="67"/>
      <c r="D307" s="67"/>
      <c r="E307" s="67"/>
      <c r="F307" s="67"/>
      <c r="G307" s="67"/>
      <c r="H307" s="67"/>
    </row>
    <row r="308" spans="1:8" x14ac:dyDescent="0.2">
      <c r="A308" s="67"/>
      <c r="B308" s="67"/>
      <c r="C308" s="67"/>
      <c r="D308" s="67"/>
      <c r="E308" s="67"/>
      <c r="F308" s="67"/>
      <c r="G308" s="67"/>
      <c r="H308" s="67"/>
    </row>
    <row r="309" spans="1:8" x14ac:dyDescent="0.2">
      <c r="A309" s="67"/>
      <c r="B309" s="67"/>
      <c r="C309" s="67"/>
      <c r="D309" s="67"/>
      <c r="E309" s="67"/>
      <c r="F309" s="67"/>
      <c r="G309" s="67"/>
      <c r="H309" s="67"/>
    </row>
    <row r="310" spans="1:8" x14ac:dyDescent="0.2">
      <c r="A310" s="67"/>
      <c r="B310" s="67"/>
      <c r="C310" s="67"/>
      <c r="D310" s="67"/>
      <c r="E310" s="67"/>
      <c r="F310" s="67"/>
      <c r="G310" s="67"/>
      <c r="H310" s="67"/>
    </row>
    <row r="311" spans="1:8" x14ac:dyDescent="0.2">
      <c r="A311" s="67"/>
      <c r="B311" s="67"/>
      <c r="C311" s="67"/>
      <c r="D311" s="67"/>
      <c r="E311" s="67"/>
      <c r="F311" s="67"/>
      <c r="G311" s="67"/>
      <c r="H311" s="67"/>
    </row>
    <row r="312" spans="1:8" x14ac:dyDescent="0.2">
      <c r="A312" s="67"/>
      <c r="B312" s="67"/>
      <c r="C312" s="67"/>
      <c r="D312" s="67"/>
      <c r="E312" s="67"/>
      <c r="F312" s="67"/>
      <c r="G312" s="67"/>
      <c r="H312" s="67"/>
    </row>
    <row r="313" spans="1:8" x14ac:dyDescent="0.2">
      <c r="A313" s="67"/>
      <c r="B313" s="67"/>
      <c r="C313" s="67"/>
      <c r="D313" s="67"/>
      <c r="E313" s="67"/>
      <c r="F313" s="67"/>
      <c r="G313" s="67"/>
      <c r="H313" s="67"/>
    </row>
    <row r="314" spans="1:8" x14ac:dyDescent="0.2">
      <c r="A314" s="67"/>
      <c r="B314" s="67"/>
      <c r="C314" s="67"/>
      <c r="D314" s="67"/>
      <c r="E314" s="67"/>
      <c r="F314" s="67"/>
      <c r="G314" s="67"/>
      <c r="H314" s="67"/>
    </row>
    <row r="315" spans="1:8" x14ac:dyDescent="0.2">
      <c r="A315" s="67"/>
      <c r="B315" s="67"/>
      <c r="C315" s="67"/>
      <c r="D315" s="67"/>
      <c r="E315" s="67"/>
      <c r="F315" s="67"/>
      <c r="G315" s="67"/>
      <c r="H315" s="67"/>
    </row>
    <row r="316" spans="1:8" x14ac:dyDescent="0.2">
      <c r="A316" s="67"/>
      <c r="B316" s="67"/>
      <c r="C316" s="67"/>
      <c r="D316" s="67"/>
      <c r="E316" s="67"/>
      <c r="F316" s="67"/>
      <c r="G316" s="67"/>
      <c r="H316" s="67"/>
    </row>
    <row r="317" spans="1:8" x14ac:dyDescent="0.2">
      <c r="A317" s="67"/>
      <c r="B317" s="67"/>
      <c r="C317" s="67"/>
      <c r="D317" s="67"/>
      <c r="E317" s="67"/>
      <c r="F317" s="67"/>
      <c r="G317" s="67"/>
      <c r="H317" s="67"/>
    </row>
    <row r="318" spans="1:8" x14ac:dyDescent="0.2">
      <c r="A318" s="67"/>
      <c r="B318" s="67"/>
      <c r="C318" s="67"/>
      <c r="D318" s="67"/>
      <c r="E318" s="67"/>
      <c r="F318" s="67"/>
      <c r="G318" s="67"/>
      <c r="H318" s="67"/>
    </row>
    <row r="319" spans="1:8" x14ac:dyDescent="0.2">
      <c r="A319" s="67"/>
      <c r="B319" s="67"/>
      <c r="C319" s="67"/>
      <c r="D319" s="67"/>
      <c r="E319" s="67"/>
      <c r="F319" s="67"/>
      <c r="G319" s="67"/>
      <c r="H319" s="67"/>
    </row>
    <row r="320" spans="1:8" x14ac:dyDescent="0.2">
      <c r="A320" s="67"/>
      <c r="B320" s="67"/>
      <c r="C320" s="67"/>
      <c r="D320" s="67"/>
      <c r="E320" s="67"/>
      <c r="F320" s="67"/>
      <c r="G320" s="67"/>
      <c r="H320" s="67"/>
    </row>
    <row r="321" spans="1:8" x14ac:dyDescent="0.2">
      <c r="A321" s="67"/>
      <c r="B321" s="67"/>
      <c r="C321" s="67"/>
      <c r="D321" s="67"/>
      <c r="E321" s="67"/>
      <c r="F321" s="67"/>
      <c r="G321" s="67"/>
      <c r="H321" s="67"/>
    </row>
    <row r="322" spans="1:8" x14ac:dyDescent="0.2">
      <c r="A322" s="67"/>
      <c r="B322" s="67"/>
      <c r="C322" s="67"/>
      <c r="D322" s="67"/>
      <c r="E322" s="67"/>
      <c r="F322" s="67"/>
      <c r="G322" s="67"/>
      <c r="H322" s="67"/>
    </row>
    <row r="323" spans="1:8" x14ac:dyDescent="0.2">
      <c r="A323" s="67"/>
      <c r="B323" s="67"/>
      <c r="C323" s="67"/>
      <c r="D323" s="67"/>
      <c r="E323" s="67"/>
      <c r="F323" s="67"/>
      <c r="G323" s="67"/>
      <c r="H323" s="67"/>
    </row>
    <row r="324" spans="1:8" x14ac:dyDescent="0.2">
      <c r="A324" s="67"/>
      <c r="B324" s="67"/>
      <c r="C324" s="67"/>
      <c r="D324" s="67"/>
      <c r="E324" s="67"/>
      <c r="F324" s="67"/>
      <c r="G324" s="67"/>
      <c r="H324" s="67"/>
    </row>
    <row r="325" spans="1:8" x14ac:dyDescent="0.2">
      <c r="A325" s="67"/>
      <c r="B325" s="67"/>
      <c r="C325" s="67"/>
      <c r="D325" s="67"/>
      <c r="E325" s="67"/>
      <c r="F325" s="67"/>
      <c r="G325" s="67"/>
      <c r="H325" s="67"/>
    </row>
    <row r="326" spans="1:8" x14ac:dyDescent="0.2">
      <c r="A326" s="67"/>
      <c r="B326" s="67"/>
      <c r="C326" s="67"/>
      <c r="D326" s="67"/>
      <c r="E326" s="67"/>
      <c r="F326" s="67"/>
      <c r="G326" s="67"/>
      <c r="H326" s="67"/>
    </row>
    <row r="327" spans="1:8" x14ac:dyDescent="0.2">
      <c r="A327" s="67"/>
      <c r="B327" s="67"/>
      <c r="C327" s="67"/>
      <c r="D327" s="67"/>
      <c r="E327" s="67"/>
      <c r="F327" s="67"/>
      <c r="G327" s="67"/>
      <c r="H327" s="67"/>
    </row>
    <row r="328" spans="1:8" x14ac:dyDescent="0.2">
      <c r="A328" s="67"/>
      <c r="B328" s="67"/>
      <c r="C328" s="67"/>
      <c r="D328" s="67"/>
      <c r="E328" s="67"/>
      <c r="F328" s="67"/>
      <c r="G328" s="67"/>
      <c r="H328" s="67"/>
    </row>
    <row r="329" spans="1:8" x14ac:dyDescent="0.2">
      <c r="A329" s="67"/>
      <c r="B329" s="67"/>
      <c r="C329" s="67"/>
      <c r="D329" s="67"/>
      <c r="E329" s="67"/>
      <c r="F329" s="67"/>
      <c r="G329" s="67"/>
      <c r="H329" s="67"/>
    </row>
    <row r="330" spans="1:8" x14ac:dyDescent="0.2">
      <c r="A330" s="67"/>
      <c r="B330" s="67"/>
      <c r="C330" s="67"/>
      <c r="D330" s="67"/>
      <c r="E330" s="67"/>
      <c r="F330" s="67"/>
      <c r="G330" s="67"/>
      <c r="H330" s="67"/>
    </row>
    <row r="331" spans="1:8" x14ac:dyDescent="0.2">
      <c r="A331" s="67"/>
      <c r="B331" s="67"/>
      <c r="C331" s="67"/>
      <c r="D331" s="67"/>
      <c r="E331" s="67"/>
      <c r="F331" s="67"/>
      <c r="G331" s="67"/>
      <c r="H331" s="67"/>
    </row>
    <row r="332" spans="1:8" x14ac:dyDescent="0.2">
      <c r="A332" s="67"/>
      <c r="B332" s="67"/>
      <c r="C332" s="67"/>
      <c r="D332" s="67"/>
      <c r="E332" s="67"/>
      <c r="F332" s="67"/>
      <c r="G332" s="67"/>
      <c r="H332" s="67"/>
    </row>
    <row r="333" spans="1:8" x14ac:dyDescent="0.2">
      <c r="A333" s="67"/>
      <c r="B333" s="67"/>
      <c r="C333" s="67"/>
      <c r="D333" s="67"/>
      <c r="E333" s="67"/>
      <c r="F333" s="67"/>
      <c r="G333" s="67"/>
      <c r="H333" s="67"/>
    </row>
    <row r="334" spans="1:8" x14ac:dyDescent="0.2">
      <c r="A334" s="67"/>
      <c r="B334" s="67"/>
      <c r="C334" s="67"/>
      <c r="D334" s="67"/>
      <c r="E334" s="67"/>
      <c r="F334" s="67"/>
      <c r="G334" s="67"/>
      <c r="H334" s="67"/>
    </row>
    <row r="335" spans="1:8" x14ac:dyDescent="0.2">
      <c r="A335" s="67"/>
      <c r="B335" s="67"/>
      <c r="C335" s="67"/>
      <c r="D335" s="67"/>
      <c r="E335" s="67"/>
      <c r="F335" s="67"/>
      <c r="G335" s="67"/>
      <c r="H335" s="67"/>
    </row>
    <row r="336" spans="1:8" x14ac:dyDescent="0.2">
      <c r="A336" s="67"/>
      <c r="B336" s="67"/>
      <c r="C336" s="67"/>
      <c r="D336" s="67"/>
      <c r="E336" s="67"/>
      <c r="F336" s="67"/>
      <c r="G336" s="67"/>
      <c r="H336" s="67"/>
    </row>
    <row r="337" spans="1:8" x14ac:dyDescent="0.2">
      <c r="A337" s="67"/>
      <c r="B337" s="67"/>
      <c r="C337" s="67"/>
      <c r="D337" s="67"/>
      <c r="E337" s="67"/>
      <c r="F337" s="67"/>
      <c r="G337" s="67"/>
      <c r="H337" s="67"/>
    </row>
    <row r="338" spans="1:8" x14ac:dyDescent="0.2">
      <c r="A338" s="67"/>
      <c r="B338" s="67"/>
      <c r="C338" s="67"/>
      <c r="D338" s="67"/>
      <c r="E338" s="67"/>
      <c r="F338" s="67"/>
      <c r="G338" s="67"/>
      <c r="H338" s="67"/>
    </row>
    <row r="339" spans="1:8" x14ac:dyDescent="0.2">
      <c r="A339" s="67"/>
      <c r="B339" s="67"/>
      <c r="C339" s="67"/>
      <c r="D339" s="67"/>
      <c r="E339" s="67"/>
      <c r="F339" s="67"/>
      <c r="G339" s="67"/>
      <c r="H339" s="67"/>
    </row>
    <row r="340" spans="1:8" x14ac:dyDescent="0.2">
      <c r="A340" s="67"/>
      <c r="B340" s="67"/>
      <c r="C340" s="67"/>
      <c r="D340" s="67"/>
      <c r="E340" s="67"/>
      <c r="F340" s="67"/>
      <c r="G340" s="67"/>
      <c r="H340" s="67"/>
    </row>
    <row r="341" spans="1:8" x14ac:dyDescent="0.2">
      <c r="A341" s="67"/>
      <c r="B341" s="67"/>
      <c r="C341" s="67"/>
      <c r="D341" s="67"/>
      <c r="E341" s="67"/>
      <c r="F341" s="67"/>
      <c r="G341" s="67"/>
      <c r="H341" s="67"/>
    </row>
    <row r="342" spans="1:8" x14ac:dyDescent="0.2">
      <c r="A342" s="67"/>
      <c r="B342" s="67"/>
      <c r="C342" s="67"/>
      <c r="D342" s="67"/>
      <c r="E342" s="67"/>
      <c r="F342" s="67"/>
      <c r="G342" s="67"/>
      <c r="H342" s="67"/>
    </row>
    <row r="343" spans="1:8" x14ac:dyDescent="0.2">
      <c r="A343" s="67"/>
      <c r="B343" s="67"/>
      <c r="C343" s="67"/>
      <c r="D343" s="67"/>
      <c r="E343" s="67"/>
      <c r="F343" s="67"/>
      <c r="G343" s="67"/>
      <c r="H343" s="67"/>
    </row>
    <row r="344" spans="1:8" x14ac:dyDescent="0.2">
      <c r="A344" s="67"/>
      <c r="B344" s="67"/>
      <c r="C344" s="67"/>
      <c r="D344" s="67"/>
      <c r="E344" s="67"/>
      <c r="F344" s="67"/>
      <c r="G344" s="67"/>
      <c r="H344" s="67"/>
    </row>
    <row r="345" spans="1:8" x14ac:dyDescent="0.2">
      <c r="A345" s="67"/>
      <c r="B345" s="67"/>
      <c r="C345" s="67"/>
      <c r="D345" s="67"/>
      <c r="E345" s="67"/>
      <c r="F345" s="67"/>
      <c r="G345" s="67"/>
      <c r="H345" s="67"/>
    </row>
    <row r="346" spans="1:8" x14ac:dyDescent="0.2">
      <c r="A346" s="67"/>
      <c r="B346" s="67"/>
      <c r="C346" s="67"/>
      <c r="D346" s="67"/>
      <c r="E346" s="67"/>
      <c r="F346" s="67"/>
      <c r="G346" s="67"/>
      <c r="H346" s="67"/>
    </row>
    <row r="347" spans="1:8" x14ac:dyDescent="0.2">
      <c r="A347" s="67"/>
      <c r="B347" s="67"/>
      <c r="C347" s="67"/>
      <c r="D347" s="67"/>
      <c r="E347" s="67"/>
      <c r="F347" s="67"/>
      <c r="G347" s="67"/>
      <c r="H347" s="67"/>
    </row>
    <row r="348" spans="1:8" x14ac:dyDescent="0.2">
      <c r="A348" s="67"/>
      <c r="B348" s="67"/>
      <c r="C348" s="67"/>
      <c r="D348" s="67"/>
      <c r="E348" s="67"/>
      <c r="F348" s="67"/>
      <c r="G348" s="67"/>
      <c r="H348" s="67"/>
    </row>
    <row r="349" spans="1:8" x14ac:dyDescent="0.2">
      <c r="A349" s="67"/>
      <c r="B349" s="67"/>
      <c r="C349" s="67"/>
      <c r="D349" s="67"/>
      <c r="E349" s="67"/>
      <c r="F349" s="67"/>
      <c r="G349" s="67"/>
      <c r="H349" s="67"/>
    </row>
    <row r="350" spans="1:8" x14ac:dyDescent="0.2">
      <c r="A350" s="67"/>
      <c r="B350" s="67"/>
      <c r="C350" s="67"/>
      <c r="D350" s="67"/>
      <c r="E350" s="67"/>
      <c r="F350" s="67"/>
      <c r="G350" s="67"/>
      <c r="H350" s="67"/>
    </row>
    <row r="351" spans="1:8" x14ac:dyDescent="0.2">
      <c r="A351" s="67"/>
      <c r="B351" s="67"/>
      <c r="C351" s="67"/>
      <c r="D351" s="67"/>
      <c r="E351" s="67"/>
      <c r="F351" s="67"/>
      <c r="G351" s="67"/>
      <c r="H351" s="67"/>
    </row>
    <row r="352" spans="1:8" x14ac:dyDescent="0.2">
      <c r="A352" s="67"/>
      <c r="B352" s="67"/>
      <c r="C352" s="67"/>
      <c r="D352" s="67"/>
      <c r="E352" s="67"/>
      <c r="F352" s="67"/>
      <c r="G352" s="67"/>
      <c r="H352" s="67"/>
    </row>
    <row r="353" spans="1:8" x14ac:dyDescent="0.2">
      <c r="A353" s="67"/>
      <c r="B353" s="67"/>
      <c r="C353" s="67"/>
      <c r="D353" s="67"/>
      <c r="E353" s="67"/>
      <c r="F353" s="67"/>
      <c r="G353" s="67"/>
      <c r="H353" s="67"/>
    </row>
    <row r="354" spans="1:8" x14ac:dyDescent="0.2">
      <c r="A354" s="67"/>
      <c r="B354" s="67"/>
      <c r="C354" s="67"/>
      <c r="D354" s="67"/>
      <c r="E354" s="67"/>
      <c r="F354" s="67"/>
      <c r="G354" s="67"/>
      <c r="H354" s="67"/>
    </row>
    <row r="355" spans="1:8" x14ac:dyDescent="0.2">
      <c r="A355" s="67"/>
      <c r="B355" s="67"/>
      <c r="C355" s="67"/>
      <c r="D355" s="67"/>
      <c r="E355" s="67"/>
      <c r="F355" s="67"/>
      <c r="G355" s="67"/>
      <c r="H355" s="67"/>
    </row>
    <row r="356" spans="1:8" x14ac:dyDescent="0.2">
      <c r="A356" s="67"/>
      <c r="B356" s="67"/>
      <c r="C356" s="67"/>
      <c r="D356" s="67"/>
      <c r="E356" s="67"/>
      <c r="F356" s="67"/>
      <c r="G356" s="67"/>
      <c r="H356" s="67"/>
    </row>
    <row r="357" spans="1:8" x14ac:dyDescent="0.2">
      <c r="A357" s="67"/>
      <c r="B357" s="67"/>
      <c r="C357" s="67"/>
      <c r="D357" s="67"/>
      <c r="E357" s="67"/>
      <c r="F357" s="67"/>
      <c r="G357" s="67"/>
      <c r="H357" s="67"/>
    </row>
    <row r="358" spans="1:8" x14ac:dyDescent="0.2">
      <c r="A358" s="67"/>
      <c r="B358" s="67"/>
      <c r="C358" s="67"/>
      <c r="D358" s="67"/>
      <c r="E358" s="67"/>
      <c r="F358" s="67"/>
      <c r="G358" s="67"/>
      <c r="H358" s="67"/>
    </row>
    <row r="359" spans="1:8" x14ac:dyDescent="0.2">
      <c r="A359" s="67"/>
      <c r="B359" s="67"/>
      <c r="C359" s="67"/>
      <c r="D359" s="67"/>
      <c r="E359" s="67"/>
      <c r="F359" s="67"/>
      <c r="G359" s="67"/>
      <c r="H359" s="67"/>
    </row>
    <row r="360" spans="1:8" x14ac:dyDescent="0.2">
      <c r="A360" s="67"/>
      <c r="B360" s="67"/>
      <c r="C360" s="67"/>
      <c r="D360" s="67"/>
      <c r="E360" s="67"/>
      <c r="F360" s="67"/>
      <c r="G360" s="67"/>
      <c r="H360" s="67"/>
    </row>
    <row r="361" spans="1:8" x14ac:dyDescent="0.2">
      <c r="A361" s="67"/>
      <c r="B361" s="67"/>
      <c r="C361" s="67"/>
      <c r="D361" s="67"/>
      <c r="E361" s="67"/>
      <c r="F361" s="67"/>
      <c r="G361" s="67"/>
      <c r="H361" s="67"/>
    </row>
    <row r="362" spans="1:8" x14ac:dyDescent="0.2">
      <c r="A362" s="67"/>
      <c r="B362" s="67"/>
      <c r="C362" s="67"/>
      <c r="D362" s="67"/>
      <c r="E362" s="67"/>
      <c r="F362" s="67"/>
      <c r="G362" s="67"/>
      <c r="H362" s="67"/>
    </row>
    <row r="363" spans="1:8" x14ac:dyDescent="0.2">
      <c r="A363" s="67"/>
      <c r="B363" s="67"/>
      <c r="C363" s="67"/>
      <c r="D363" s="67"/>
      <c r="E363" s="67"/>
      <c r="F363" s="67"/>
      <c r="G363" s="67"/>
      <c r="H363" s="67"/>
    </row>
    <row r="364" spans="1:8" x14ac:dyDescent="0.2">
      <c r="A364" s="67"/>
      <c r="B364" s="67"/>
      <c r="C364" s="67"/>
      <c r="D364" s="67"/>
      <c r="E364" s="67"/>
      <c r="F364" s="67"/>
      <c r="G364" s="67"/>
      <c r="H364" s="67"/>
    </row>
    <row r="365" spans="1:8" x14ac:dyDescent="0.2">
      <c r="A365" s="67"/>
      <c r="B365" s="67"/>
      <c r="C365" s="67"/>
      <c r="D365" s="67"/>
      <c r="E365" s="67"/>
      <c r="F365" s="67"/>
      <c r="G365" s="67"/>
      <c r="H365" s="67"/>
    </row>
    <row r="366" spans="1:8" x14ac:dyDescent="0.2">
      <c r="A366" s="67"/>
      <c r="B366" s="67"/>
      <c r="C366" s="67"/>
      <c r="D366" s="67"/>
      <c r="E366" s="67"/>
      <c r="F366" s="67"/>
      <c r="G366" s="67"/>
      <c r="H366" s="67"/>
    </row>
    <row r="367" spans="1:8" x14ac:dyDescent="0.2">
      <c r="A367" s="67"/>
      <c r="B367" s="67"/>
      <c r="C367" s="67"/>
      <c r="D367" s="67"/>
      <c r="E367" s="67"/>
      <c r="F367" s="67"/>
      <c r="G367" s="67"/>
      <c r="H367" s="67"/>
    </row>
    <row r="368" spans="1:8" x14ac:dyDescent="0.2">
      <c r="A368" s="67"/>
      <c r="B368" s="67"/>
      <c r="C368" s="67"/>
      <c r="D368" s="67"/>
      <c r="E368" s="67"/>
      <c r="F368" s="67"/>
      <c r="G368" s="67"/>
      <c r="H368" s="67"/>
    </row>
    <row r="369" spans="1:8" x14ac:dyDescent="0.2">
      <c r="A369" s="67"/>
      <c r="B369" s="67"/>
      <c r="C369" s="67"/>
      <c r="D369" s="67"/>
      <c r="E369" s="67"/>
      <c r="F369" s="67"/>
      <c r="G369" s="67"/>
      <c r="H369" s="67"/>
    </row>
    <row r="370" spans="1:8" x14ac:dyDescent="0.2">
      <c r="A370" s="67"/>
      <c r="B370" s="67"/>
      <c r="C370" s="67"/>
      <c r="D370" s="67"/>
      <c r="E370" s="67"/>
      <c r="F370" s="67"/>
      <c r="G370" s="67"/>
      <c r="H370" s="67"/>
    </row>
    <row r="371" spans="1:8" x14ac:dyDescent="0.2">
      <c r="A371" s="67"/>
      <c r="B371" s="67"/>
      <c r="C371" s="67"/>
      <c r="D371" s="67"/>
      <c r="E371" s="67"/>
      <c r="F371" s="67"/>
      <c r="G371" s="67"/>
      <c r="H371" s="67"/>
    </row>
    <row r="372" spans="1:8" x14ac:dyDescent="0.2">
      <c r="A372" s="67"/>
      <c r="B372" s="67"/>
      <c r="C372" s="67"/>
      <c r="D372" s="67"/>
      <c r="E372" s="67"/>
      <c r="F372" s="67"/>
      <c r="G372" s="67"/>
      <c r="H372" s="67"/>
    </row>
    <row r="373" spans="1:8" x14ac:dyDescent="0.2">
      <c r="A373" s="67"/>
      <c r="B373" s="67"/>
      <c r="C373" s="67"/>
      <c r="D373" s="67"/>
      <c r="E373" s="67"/>
      <c r="F373" s="67"/>
      <c r="G373" s="67"/>
      <c r="H373" s="67"/>
    </row>
    <row r="374" spans="1:8" x14ac:dyDescent="0.2">
      <c r="A374" s="67"/>
      <c r="B374" s="67"/>
      <c r="C374" s="67"/>
      <c r="D374" s="67"/>
      <c r="E374" s="67"/>
      <c r="F374" s="67"/>
      <c r="G374" s="67"/>
      <c r="H374" s="67"/>
    </row>
    <row r="375" spans="1:8" x14ac:dyDescent="0.2">
      <c r="A375" s="67"/>
      <c r="B375" s="67"/>
      <c r="C375" s="67"/>
      <c r="D375" s="67"/>
      <c r="E375" s="67"/>
      <c r="F375" s="67"/>
      <c r="G375" s="67"/>
      <c r="H375" s="67"/>
    </row>
    <row r="376" spans="1:8" x14ac:dyDescent="0.2">
      <c r="A376" s="67"/>
      <c r="B376" s="67"/>
      <c r="C376" s="67"/>
      <c r="D376" s="67"/>
      <c r="E376" s="67"/>
      <c r="F376" s="67"/>
      <c r="G376" s="67"/>
      <c r="H376" s="67"/>
    </row>
    <row r="377" spans="1:8" x14ac:dyDescent="0.2">
      <c r="A377" s="67"/>
      <c r="B377" s="67"/>
      <c r="C377" s="67"/>
      <c r="D377" s="67"/>
      <c r="E377" s="67"/>
      <c r="F377" s="67"/>
      <c r="G377" s="67"/>
      <c r="H377" s="67"/>
    </row>
    <row r="378" spans="1:8" x14ac:dyDescent="0.2">
      <c r="A378" s="67"/>
      <c r="B378" s="67"/>
      <c r="C378" s="67"/>
      <c r="D378" s="67"/>
      <c r="E378" s="67"/>
      <c r="F378" s="67"/>
      <c r="G378" s="67"/>
      <c r="H378" s="67"/>
    </row>
    <row r="379" spans="1:8" x14ac:dyDescent="0.2">
      <c r="A379" s="67"/>
      <c r="B379" s="67"/>
      <c r="C379" s="67"/>
      <c r="D379" s="67"/>
      <c r="E379" s="67"/>
      <c r="F379" s="67"/>
      <c r="G379" s="67"/>
      <c r="H379" s="67"/>
    </row>
    <row r="380" spans="1:8" x14ac:dyDescent="0.2">
      <c r="A380" s="67"/>
      <c r="B380" s="67"/>
      <c r="C380" s="67"/>
      <c r="D380" s="67"/>
      <c r="E380" s="67"/>
      <c r="F380" s="67"/>
      <c r="G380" s="67"/>
      <c r="H380" s="67"/>
    </row>
    <row r="381" spans="1:8" x14ac:dyDescent="0.2">
      <c r="A381" s="67"/>
      <c r="B381" s="67"/>
      <c r="C381" s="67"/>
      <c r="D381" s="67"/>
      <c r="E381" s="67"/>
      <c r="F381" s="67"/>
      <c r="G381" s="67"/>
      <c r="H381" s="67"/>
    </row>
    <row r="382" spans="1:8" x14ac:dyDescent="0.2">
      <c r="A382" s="67"/>
      <c r="B382" s="67"/>
      <c r="C382" s="67"/>
      <c r="D382" s="67"/>
      <c r="E382" s="67"/>
      <c r="F382" s="67"/>
      <c r="G382" s="67"/>
      <c r="H382" s="67"/>
    </row>
    <row r="383" spans="1:8" x14ac:dyDescent="0.2">
      <c r="A383" s="67"/>
      <c r="B383" s="67"/>
      <c r="C383" s="67"/>
      <c r="D383" s="67"/>
      <c r="E383" s="67"/>
      <c r="F383" s="67"/>
      <c r="G383" s="67"/>
      <c r="H383" s="67"/>
    </row>
    <row r="384" spans="1:8" x14ac:dyDescent="0.2">
      <c r="A384" s="67"/>
      <c r="B384" s="67"/>
      <c r="C384" s="67"/>
      <c r="D384" s="67"/>
      <c r="E384" s="67"/>
      <c r="F384" s="67"/>
      <c r="G384" s="67"/>
      <c r="H384" s="67"/>
    </row>
    <row r="385" spans="1:8" x14ac:dyDescent="0.2">
      <c r="A385" s="67"/>
      <c r="B385" s="67"/>
      <c r="C385" s="67"/>
      <c r="D385" s="67"/>
      <c r="E385" s="67"/>
      <c r="F385" s="67"/>
      <c r="G385" s="67"/>
      <c r="H385" s="67"/>
    </row>
    <row r="386" spans="1:8" x14ac:dyDescent="0.2">
      <c r="A386" s="67"/>
      <c r="B386" s="67"/>
      <c r="C386" s="67"/>
      <c r="D386" s="67"/>
      <c r="E386" s="67"/>
      <c r="F386" s="67"/>
      <c r="G386" s="67"/>
      <c r="H386" s="67"/>
    </row>
    <row r="387" spans="1:8" x14ac:dyDescent="0.2">
      <c r="A387" s="67"/>
      <c r="B387" s="67"/>
      <c r="C387" s="67"/>
      <c r="D387" s="67"/>
      <c r="E387" s="67"/>
      <c r="F387" s="67"/>
      <c r="G387" s="67"/>
      <c r="H387" s="67"/>
    </row>
    <row r="388" spans="1:8" x14ac:dyDescent="0.2">
      <c r="A388" s="67"/>
      <c r="B388" s="67"/>
      <c r="C388" s="67"/>
      <c r="D388" s="67"/>
      <c r="E388" s="67"/>
      <c r="F388" s="67"/>
      <c r="G388" s="67"/>
      <c r="H388" s="67"/>
    </row>
    <row r="389" spans="1:8" x14ac:dyDescent="0.2">
      <c r="A389" s="67"/>
      <c r="B389" s="67"/>
      <c r="C389" s="67"/>
      <c r="D389" s="67"/>
      <c r="E389" s="67"/>
      <c r="F389" s="67"/>
      <c r="G389" s="67"/>
      <c r="H389" s="67"/>
    </row>
    <row r="390" spans="1:8" x14ac:dyDescent="0.2">
      <c r="A390" s="67"/>
      <c r="B390" s="67"/>
      <c r="C390" s="67"/>
      <c r="D390" s="67"/>
      <c r="E390" s="67"/>
      <c r="F390" s="67"/>
      <c r="G390" s="67"/>
      <c r="H390" s="67"/>
    </row>
    <row r="391" spans="1:8" x14ac:dyDescent="0.2">
      <c r="A391" s="67"/>
      <c r="B391" s="67"/>
      <c r="C391" s="67"/>
      <c r="D391" s="67"/>
      <c r="E391" s="67"/>
      <c r="F391" s="67"/>
      <c r="G391" s="67"/>
      <c r="H391" s="67"/>
    </row>
    <row r="392" spans="1:8" x14ac:dyDescent="0.2">
      <c r="A392" s="67"/>
      <c r="B392" s="67"/>
      <c r="C392" s="67"/>
      <c r="D392" s="67"/>
      <c r="E392" s="67"/>
      <c r="F392" s="67"/>
      <c r="G392" s="67"/>
      <c r="H392" s="67"/>
    </row>
    <row r="393" spans="1:8" x14ac:dyDescent="0.2">
      <c r="A393" s="67"/>
      <c r="B393" s="67"/>
      <c r="C393" s="67"/>
      <c r="D393" s="67"/>
      <c r="E393" s="67"/>
      <c r="F393" s="67"/>
      <c r="G393" s="67"/>
      <c r="H393" s="67"/>
    </row>
    <row r="394" spans="1:8" x14ac:dyDescent="0.2">
      <c r="A394" s="67"/>
      <c r="B394" s="67"/>
      <c r="C394" s="67"/>
      <c r="D394" s="67"/>
      <c r="E394" s="67"/>
      <c r="F394" s="67"/>
      <c r="G394" s="67"/>
      <c r="H394" s="67"/>
    </row>
    <row r="395" spans="1:8" x14ac:dyDescent="0.2">
      <c r="A395" s="67"/>
      <c r="B395" s="67"/>
      <c r="C395" s="67"/>
      <c r="D395" s="67"/>
      <c r="E395" s="67"/>
      <c r="F395" s="67"/>
      <c r="G395" s="67"/>
      <c r="H395" s="67"/>
    </row>
    <row r="396" spans="1:8" x14ac:dyDescent="0.2">
      <c r="A396" s="67"/>
      <c r="B396" s="67"/>
      <c r="C396" s="67"/>
      <c r="D396" s="67"/>
      <c r="E396" s="67"/>
      <c r="F396" s="67"/>
      <c r="G396" s="67"/>
      <c r="H396" s="67"/>
    </row>
    <row r="397" spans="1:8" x14ac:dyDescent="0.2">
      <c r="A397" s="67"/>
      <c r="B397" s="67"/>
      <c r="C397" s="67"/>
      <c r="D397" s="67"/>
      <c r="E397" s="67"/>
      <c r="F397" s="67"/>
      <c r="G397" s="67"/>
      <c r="H397" s="67"/>
    </row>
    <row r="398" spans="1:8" x14ac:dyDescent="0.2">
      <c r="A398" s="67"/>
      <c r="B398" s="67"/>
      <c r="C398" s="67"/>
      <c r="D398" s="67"/>
      <c r="E398" s="67"/>
      <c r="F398" s="67"/>
      <c r="G398" s="67"/>
      <c r="H398" s="67"/>
    </row>
    <row r="399" spans="1:8" x14ac:dyDescent="0.2">
      <c r="A399" s="67"/>
      <c r="B399" s="67"/>
      <c r="C399" s="67"/>
      <c r="D399" s="67"/>
      <c r="E399" s="67"/>
      <c r="F399" s="67"/>
      <c r="G399" s="67"/>
      <c r="H399" s="67"/>
    </row>
    <row r="400" spans="1:8" x14ac:dyDescent="0.2">
      <c r="A400" s="67"/>
      <c r="B400" s="67"/>
      <c r="C400" s="67"/>
      <c r="D400" s="67"/>
      <c r="E400" s="67"/>
      <c r="F400" s="67"/>
      <c r="G400" s="67"/>
      <c r="H400" s="67"/>
    </row>
    <row r="401" spans="1:8" x14ac:dyDescent="0.2">
      <c r="A401" s="67"/>
      <c r="B401" s="67"/>
      <c r="C401" s="67"/>
      <c r="D401" s="67"/>
      <c r="E401" s="67"/>
      <c r="F401" s="67"/>
      <c r="G401" s="67"/>
      <c r="H401" s="67"/>
    </row>
    <row r="402" spans="1:8" x14ac:dyDescent="0.2">
      <c r="A402" s="67"/>
      <c r="B402" s="67"/>
      <c r="C402" s="67"/>
      <c r="D402" s="67"/>
      <c r="E402" s="67"/>
      <c r="F402" s="67"/>
      <c r="G402" s="67"/>
      <c r="H402" s="67"/>
    </row>
    <row r="403" spans="1:8" x14ac:dyDescent="0.2">
      <c r="A403" s="67"/>
      <c r="B403" s="67"/>
      <c r="C403" s="67"/>
      <c r="D403" s="67"/>
      <c r="E403" s="67"/>
      <c r="F403" s="67"/>
      <c r="G403" s="67"/>
      <c r="H403" s="67"/>
    </row>
    <row r="404" spans="1:8" x14ac:dyDescent="0.2">
      <c r="A404" s="67"/>
      <c r="B404" s="67"/>
      <c r="C404" s="67"/>
      <c r="D404" s="67"/>
      <c r="E404" s="67"/>
      <c r="F404" s="67"/>
      <c r="G404" s="67"/>
      <c r="H404" s="67"/>
    </row>
    <row r="405" spans="1:8" x14ac:dyDescent="0.2">
      <c r="A405" s="67"/>
      <c r="B405" s="67"/>
      <c r="C405" s="67"/>
      <c r="D405" s="67"/>
      <c r="E405" s="67"/>
      <c r="F405" s="67"/>
      <c r="G405" s="67"/>
      <c r="H405" s="67"/>
    </row>
    <row r="406" spans="1:8" x14ac:dyDescent="0.2">
      <c r="A406" s="67"/>
      <c r="B406" s="67"/>
      <c r="C406" s="67"/>
      <c r="D406" s="67"/>
      <c r="E406" s="67"/>
      <c r="F406" s="67"/>
      <c r="G406" s="67"/>
      <c r="H406" s="67"/>
    </row>
    <row r="407" spans="1:8" x14ac:dyDescent="0.2">
      <c r="A407" s="67"/>
      <c r="B407" s="67"/>
      <c r="C407" s="67"/>
      <c r="D407" s="67"/>
      <c r="E407" s="67"/>
      <c r="F407" s="67"/>
      <c r="G407" s="67"/>
      <c r="H407" s="67"/>
    </row>
    <row r="408" spans="1:8" x14ac:dyDescent="0.2">
      <c r="A408" s="67"/>
      <c r="B408" s="67"/>
      <c r="C408" s="67"/>
      <c r="D408" s="67"/>
      <c r="E408" s="67"/>
      <c r="F408" s="67"/>
      <c r="G408" s="67"/>
      <c r="H408" s="67"/>
    </row>
    <row r="409" spans="1:8" x14ac:dyDescent="0.2">
      <c r="A409" s="67"/>
      <c r="B409" s="67"/>
      <c r="C409" s="67"/>
      <c r="D409" s="67"/>
      <c r="E409" s="67"/>
      <c r="F409" s="67"/>
      <c r="G409" s="67"/>
      <c r="H409" s="67"/>
    </row>
    <row r="410" spans="1:8" x14ac:dyDescent="0.2">
      <c r="A410" s="67"/>
      <c r="B410" s="67"/>
      <c r="C410" s="67"/>
      <c r="D410" s="67"/>
      <c r="E410" s="67"/>
      <c r="F410" s="67"/>
      <c r="G410" s="67"/>
      <c r="H410" s="67"/>
    </row>
    <row r="411" spans="1:8" x14ac:dyDescent="0.2">
      <c r="A411" s="67"/>
      <c r="B411" s="67"/>
      <c r="C411" s="67"/>
      <c r="D411" s="67"/>
      <c r="E411" s="67"/>
      <c r="F411" s="67"/>
      <c r="G411" s="67"/>
      <c r="H411" s="67"/>
    </row>
    <row r="412" spans="1:8" x14ac:dyDescent="0.2">
      <c r="A412" s="67"/>
      <c r="B412" s="67"/>
      <c r="C412" s="67"/>
      <c r="D412" s="67"/>
      <c r="E412" s="67"/>
      <c r="F412" s="67"/>
      <c r="G412" s="67"/>
      <c r="H412" s="67"/>
    </row>
    <row r="413" spans="1:8" x14ac:dyDescent="0.2">
      <c r="A413" s="67"/>
      <c r="B413" s="67"/>
      <c r="C413" s="67"/>
      <c r="D413" s="67"/>
      <c r="E413" s="67"/>
      <c r="F413" s="67"/>
      <c r="G413" s="67"/>
      <c r="H413" s="67"/>
    </row>
    <row r="414" spans="1:8" x14ac:dyDescent="0.2">
      <c r="A414" s="67"/>
      <c r="B414" s="67"/>
      <c r="C414" s="67"/>
      <c r="D414" s="67"/>
      <c r="E414" s="67"/>
      <c r="F414" s="67"/>
      <c r="G414" s="67"/>
      <c r="H414" s="67"/>
    </row>
    <row r="415" spans="1:8" x14ac:dyDescent="0.2">
      <c r="A415" s="67"/>
      <c r="B415" s="67"/>
      <c r="C415" s="67"/>
      <c r="D415" s="67"/>
      <c r="E415" s="67"/>
      <c r="F415" s="67"/>
      <c r="G415" s="67"/>
      <c r="H415" s="67"/>
    </row>
    <row r="416" spans="1:8" x14ac:dyDescent="0.2">
      <c r="A416" s="67"/>
      <c r="B416" s="67"/>
      <c r="C416" s="67"/>
      <c r="D416" s="67"/>
      <c r="E416" s="67"/>
      <c r="F416" s="67"/>
      <c r="G416" s="67"/>
      <c r="H416" s="67"/>
    </row>
    <row r="417" spans="1:8" x14ac:dyDescent="0.2">
      <c r="A417" s="67"/>
      <c r="B417" s="67"/>
      <c r="C417" s="67"/>
      <c r="D417" s="67"/>
      <c r="E417" s="67"/>
      <c r="F417" s="67"/>
      <c r="G417" s="67"/>
      <c r="H417" s="67"/>
    </row>
    <row r="418" spans="1:8" x14ac:dyDescent="0.2">
      <c r="A418" s="67"/>
      <c r="B418" s="67"/>
      <c r="C418" s="67"/>
      <c r="D418" s="67"/>
      <c r="E418" s="67"/>
      <c r="F418" s="67"/>
      <c r="G418" s="67"/>
      <c r="H418" s="67"/>
    </row>
    <row r="419" spans="1:8" x14ac:dyDescent="0.2">
      <c r="A419" s="67"/>
      <c r="B419" s="67"/>
      <c r="C419" s="67"/>
      <c r="D419" s="67"/>
      <c r="E419" s="67"/>
      <c r="F419" s="67"/>
      <c r="G419" s="67"/>
      <c r="H419" s="67"/>
    </row>
    <row r="420" spans="1:8" x14ac:dyDescent="0.2">
      <c r="A420" s="67"/>
      <c r="B420" s="67"/>
      <c r="C420" s="67"/>
      <c r="D420" s="67"/>
      <c r="E420" s="67"/>
      <c r="F420" s="67"/>
      <c r="G420" s="67"/>
      <c r="H420" s="67"/>
    </row>
  </sheetData>
  <mergeCells count="269">
    <mergeCell ref="C9:H9"/>
    <mergeCell ref="C10:H10"/>
    <mergeCell ref="C11:H11"/>
    <mergeCell ref="C12:H12"/>
    <mergeCell ref="C13:H13"/>
    <mergeCell ref="B2:H2"/>
    <mergeCell ref="B3:H3"/>
    <mergeCell ref="B5:H5"/>
    <mergeCell ref="C6:H6"/>
    <mergeCell ref="C7:H7"/>
    <mergeCell ref="C8:H8"/>
    <mergeCell ref="D22:H22"/>
    <mergeCell ref="D23:H23"/>
    <mergeCell ref="D24:H24"/>
    <mergeCell ref="D21:H21"/>
    <mergeCell ref="B16:H16"/>
    <mergeCell ref="C17:H17"/>
    <mergeCell ref="C18:H18"/>
    <mergeCell ref="B20:H20"/>
    <mergeCell ref="C14:H14"/>
    <mergeCell ref="C31:F31"/>
    <mergeCell ref="G31:H31"/>
    <mergeCell ref="C32:F32"/>
    <mergeCell ref="G32:H32"/>
    <mergeCell ref="C33:F33"/>
    <mergeCell ref="G33:H33"/>
    <mergeCell ref="D25:H25"/>
    <mergeCell ref="B27:H27"/>
    <mergeCell ref="B28:H28"/>
    <mergeCell ref="C29:F29"/>
    <mergeCell ref="G29:H29"/>
    <mergeCell ref="C30:F30"/>
    <mergeCell ref="G30:H30"/>
    <mergeCell ref="C41:D41"/>
    <mergeCell ref="E41:F41"/>
    <mergeCell ref="G41:H41"/>
    <mergeCell ref="C42:D42"/>
    <mergeCell ref="E42:F42"/>
    <mergeCell ref="G42:H42"/>
    <mergeCell ref="C34:F34"/>
    <mergeCell ref="G34:H34"/>
    <mergeCell ref="B36:H36"/>
    <mergeCell ref="C37:H37"/>
    <mergeCell ref="C38:H38"/>
    <mergeCell ref="B40:H40"/>
    <mergeCell ref="C45:D45"/>
    <mergeCell ref="E45:F45"/>
    <mergeCell ref="G45:H45"/>
    <mergeCell ref="B47:H47"/>
    <mergeCell ref="B48:H48"/>
    <mergeCell ref="B49:H49"/>
    <mergeCell ref="C43:D43"/>
    <mergeCell ref="E43:F43"/>
    <mergeCell ref="G43:H43"/>
    <mergeCell ref="C44:D44"/>
    <mergeCell ref="E44:F44"/>
    <mergeCell ref="G44:H44"/>
    <mergeCell ref="C53:D53"/>
    <mergeCell ref="E53:F53"/>
    <mergeCell ref="G53:H53"/>
    <mergeCell ref="C54:D54"/>
    <mergeCell ref="E54:F54"/>
    <mergeCell ref="G54:H54"/>
    <mergeCell ref="C50:D50"/>
    <mergeCell ref="E50:F50"/>
    <mergeCell ref="G50:H50"/>
    <mergeCell ref="C52:D52"/>
    <mergeCell ref="E52:F52"/>
    <mergeCell ref="G52:H52"/>
    <mergeCell ref="C51:D51"/>
    <mergeCell ref="E51:F51"/>
    <mergeCell ref="G51:H51"/>
    <mergeCell ref="C57:D57"/>
    <mergeCell ref="E57:F57"/>
    <mergeCell ref="G57:H57"/>
    <mergeCell ref="C58:D58"/>
    <mergeCell ref="E58:F58"/>
    <mergeCell ref="G58:H58"/>
    <mergeCell ref="C55:D55"/>
    <mergeCell ref="E55:F55"/>
    <mergeCell ref="G55:H55"/>
    <mergeCell ref="C56:D56"/>
    <mergeCell ref="E56:F56"/>
    <mergeCell ref="G56:H56"/>
    <mergeCell ref="C61:D61"/>
    <mergeCell ref="E61:F61"/>
    <mergeCell ref="G61:H61"/>
    <mergeCell ref="C62:D62"/>
    <mergeCell ref="E62:F62"/>
    <mergeCell ref="G62:H62"/>
    <mergeCell ref="C59:D59"/>
    <mergeCell ref="E59:F59"/>
    <mergeCell ref="G59:H59"/>
    <mergeCell ref="C60:D60"/>
    <mergeCell ref="E60:F60"/>
    <mergeCell ref="G60:H60"/>
    <mergeCell ref="C78:H78"/>
    <mergeCell ref="C79:H79"/>
    <mergeCell ref="C80:H80"/>
    <mergeCell ref="B82:H82"/>
    <mergeCell ref="C83:H83"/>
    <mergeCell ref="C84:H84"/>
    <mergeCell ref="B64:H64"/>
    <mergeCell ref="B65:H65"/>
    <mergeCell ref="B74:H74"/>
    <mergeCell ref="C75:H75"/>
    <mergeCell ref="C76:H76"/>
    <mergeCell ref="C77:H77"/>
    <mergeCell ref="C92:H92"/>
    <mergeCell ref="C93:H93"/>
    <mergeCell ref="C94:H94"/>
    <mergeCell ref="C95:H95"/>
    <mergeCell ref="C96:H96"/>
    <mergeCell ref="B98:H98"/>
    <mergeCell ref="C85:H85"/>
    <mergeCell ref="C86:H86"/>
    <mergeCell ref="C87:H87"/>
    <mergeCell ref="C88:H88"/>
    <mergeCell ref="B90:H90"/>
    <mergeCell ref="C91:H91"/>
    <mergeCell ref="B106:H106"/>
    <mergeCell ref="C107:H107"/>
    <mergeCell ref="C108:H108"/>
    <mergeCell ref="C109:H109"/>
    <mergeCell ref="C110:H110"/>
    <mergeCell ref="C111:H111"/>
    <mergeCell ref="C99:H99"/>
    <mergeCell ref="C100:H100"/>
    <mergeCell ref="C101:H101"/>
    <mergeCell ref="C102:H102"/>
    <mergeCell ref="C103:H103"/>
    <mergeCell ref="C104:H104"/>
    <mergeCell ref="C112:H112"/>
    <mergeCell ref="B153:H153"/>
    <mergeCell ref="C154:H154"/>
    <mergeCell ref="B155:H155"/>
    <mergeCell ref="C156:H156"/>
    <mergeCell ref="B157:H157"/>
    <mergeCell ref="B128:H128"/>
    <mergeCell ref="C129:D129"/>
    <mergeCell ref="F129:H129"/>
    <mergeCell ref="C130:D130"/>
    <mergeCell ref="C161:E161"/>
    <mergeCell ref="F161:H161"/>
    <mergeCell ref="C162:E162"/>
    <mergeCell ref="F162:H162"/>
    <mergeCell ref="C163:E163"/>
    <mergeCell ref="F163:H163"/>
    <mergeCell ref="C158:E158"/>
    <mergeCell ref="F158:H158"/>
    <mergeCell ref="C159:E159"/>
    <mergeCell ref="F159:H159"/>
    <mergeCell ref="C160:E160"/>
    <mergeCell ref="F160:H160"/>
    <mergeCell ref="C167:E167"/>
    <mergeCell ref="F167:H167"/>
    <mergeCell ref="B168:H168"/>
    <mergeCell ref="C169:H169"/>
    <mergeCell ref="B170:H170"/>
    <mergeCell ref="C171:H171"/>
    <mergeCell ref="C164:E164"/>
    <mergeCell ref="F164:H164"/>
    <mergeCell ref="C165:E165"/>
    <mergeCell ref="F165:H165"/>
    <mergeCell ref="C166:E166"/>
    <mergeCell ref="F166:H166"/>
    <mergeCell ref="C178:E178"/>
    <mergeCell ref="F178:H178"/>
    <mergeCell ref="C179:E179"/>
    <mergeCell ref="F179:H179"/>
    <mergeCell ref="C180:E180"/>
    <mergeCell ref="F180:H180"/>
    <mergeCell ref="C172:H172"/>
    <mergeCell ref="B174:H174"/>
    <mergeCell ref="B175:H175"/>
    <mergeCell ref="C176:E176"/>
    <mergeCell ref="F176:H176"/>
    <mergeCell ref="C177:E177"/>
    <mergeCell ref="F177:H177"/>
    <mergeCell ref="C187:H187"/>
    <mergeCell ref="C188:H188"/>
    <mergeCell ref="C189:H189"/>
    <mergeCell ref="C190:H190"/>
    <mergeCell ref="C191:H191"/>
    <mergeCell ref="C192:H192"/>
    <mergeCell ref="C181:E181"/>
    <mergeCell ref="F181:H181"/>
    <mergeCell ref="B183:H183"/>
    <mergeCell ref="B184:H184"/>
    <mergeCell ref="C185:H185"/>
    <mergeCell ref="C186:H186"/>
    <mergeCell ref="C200:H200"/>
    <mergeCell ref="C201:H201"/>
    <mergeCell ref="C202:H202"/>
    <mergeCell ref="C203:H203"/>
    <mergeCell ref="C204:H204"/>
    <mergeCell ref="C193:H193"/>
    <mergeCell ref="B194:H194"/>
    <mergeCell ref="B196:H196"/>
    <mergeCell ref="B197:H197"/>
    <mergeCell ref="C198:H198"/>
    <mergeCell ref="C199:H199"/>
    <mergeCell ref="C212:D212"/>
    <mergeCell ref="E212:H212"/>
    <mergeCell ref="C213:D213"/>
    <mergeCell ref="E213:H213"/>
    <mergeCell ref="C214:D214"/>
    <mergeCell ref="E214:H214"/>
    <mergeCell ref="B209:H209"/>
    <mergeCell ref="B210:H210"/>
    <mergeCell ref="C211:D211"/>
    <mergeCell ref="E211:H211"/>
    <mergeCell ref="C221:H221"/>
    <mergeCell ref="B222:H222"/>
    <mergeCell ref="C223:H223"/>
    <mergeCell ref="B224:H224"/>
    <mergeCell ref="C225:H225"/>
    <mergeCell ref="C215:D215"/>
    <mergeCell ref="E215:H215"/>
    <mergeCell ref="C216:H216"/>
    <mergeCell ref="C217:H217"/>
    <mergeCell ref="B219:H219"/>
    <mergeCell ref="B220:H220"/>
    <mergeCell ref="C232:E232"/>
    <mergeCell ref="F232:H232"/>
    <mergeCell ref="C233:E233"/>
    <mergeCell ref="F233:H233"/>
    <mergeCell ref="C230:E230"/>
    <mergeCell ref="F230:H230"/>
    <mergeCell ref="B227:H227"/>
    <mergeCell ref="B228:H228"/>
    <mergeCell ref="C229:E229"/>
    <mergeCell ref="F229:H229"/>
    <mergeCell ref="F130:H130"/>
    <mergeCell ref="C131:D131"/>
    <mergeCell ref="F131:H131"/>
    <mergeCell ref="C132:D132"/>
    <mergeCell ref="F132:H132"/>
    <mergeCell ref="C133:D133"/>
    <mergeCell ref="F133:H133"/>
    <mergeCell ref="B238:H238"/>
    <mergeCell ref="B66:H66"/>
    <mergeCell ref="C67:H67"/>
    <mergeCell ref="C68:H68"/>
    <mergeCell ref="C69:H69"/>
    <mergeCell ref="C70:H70"/>
    <mergeCell ref="C71:H71"/>
    <mergeCell ref="C72:H72"/>
    <mergeCell ref="B127:H127"/>
    <mergeCell ref="C234:E234"/>
    <mergeCell ref="F234:H234"/>
    <mergeCell ref="C235:E235"/>
    <mergeCell ref="F235:H235"/>
    <mergeCell ref="C236:E236"/>
    <mergeCell ref="F236:H236"/>
    <mergeCell ref="C231:E231"/>
    <mergeCell ref="F231:H231"/>
    <mergeCell ref="C137:D137"/>
    <mergeCell ref="F137:H137"/>
    <mergeCell ref="C138:D138"/>
    <mergeCell ref="F138:H138"/>
    <mergeCell ref="C139:H139"/>
    <mergeCell ref="C140:H140"/>
    <mergeCell ref="C134:D134"/>
    <mergeCell ref="F134:H134"/>
    <mergeCell ref="C135:D135"/>
    <mergeCell ref="F135:H135"/>
    <mergeCell ref="C136:D136"/>
    <mergeCell ref="F136:H136"/>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85D38-F8CF-F048-9F13-A1DB79845D4A}">
  <sheetPr codeName="Sheet1"/>
  <dimension ref="A1:N46"/>
  <sheetViews>
    <sheetView showGridLines="0" workbookViewId="0">
      <selection activeCell="C196" sqref="C196:H196"/>
    </sheetView>
  </sheetViews>
  <sheetFormatPr baseColWidth="10" defaultRowHeight="16" x14ac:dyDescent="0.2"/>
  <cols>
    <col min="2" max="2" width="18" bestFit="1" customWidth="1"/>
    <col min="3" max="3" width="18" customWidth="1"/>
    <col min="5" max="5" width="18.33203125" bestFit="1" customWidth="1"/>
    <col min="6" max="6" width="18.83203125" bestFit="1" customWidth="1"/>
    <col min="7" max="7" width="17.1640625" bestFit="1" customWidth="1"/>
    <col min="9" max="9" width="25.5" bestFit="1" customWidth="1"/>
    <col min="10" max="10" width="12.1640625" customWidth="1"/>
    <col min="11" max="11" width="10" bestFit="1" customWidth="1"/>
    <col min="12" max="12" width="18.33203125" bestFit="1" customWidth="1"/>
    <col min="13" max="13" width="18.83203125" bestFit="1" customWidth="1"/>
    <col min="14" max="14" width="17.1640625" bestFit="1" customWidth="1"/>
  </cols>
  <sheetData>
    <row r="1" spans="1:14" x14ac:dyDescent="0.2">
      <c r="B1" s="6" t="s">
        <v>32</v>
      </c>
      <c r="C1" s="7"/>
      <c r="D1" s="7"/>
      <c r="E1" s="7"/>
      <c r="I1" s="6" t="s">
        <v>43</v>
      </c>
    </row>
    <row r="2" spans="1:14" x14ac:dyDescent="0.2">
      <c r="B2" s="5" t="s">
        <v>0</v>
      </c>
      <c r="C2" s="5" t="s">
        <v>15</v>
      </c>
      <c r="D2" s="5" t="s">
        <v>2</v>
      </c>
      <c r="E2" s="5" t="s">
        <v>3</v>
      </c>
      <c r="F2" s="5" t="s">
        <v>4</v>
      </c>
      <c r="G2" s="5" t="s">
        <v>5</v>
      </c>
      <c r="I2" s="5" t="s">
        <v>1</v>
      </c>
      <c r="J2" s="5" t="s">
        <v>15</v>
      </c>
      <c r="K2" s="5" t="s">
        <v>2</v>
      </c>
      <c r="L2" s="5" t="s">
        <v>3</v>
      </c>
      <c r="M2" s="5" t="s">
        <v>4</v>
      </c>
      <c r="N2" s="5" t="s">
        <v>5</v>
      </c>
    </row>
    <row r="3" spans="1:14" x14ac:dyDescent="0.2">
      <c r="A3">
        <v>1</v>
      </c>
      <c r="B3" t="s">
        <v>8</v>
      </c>
      <c r="C3" t="s">
        <v>16</v>
      </c>
      <c r="D3" s="18">
        <v>15</v>
      </c>
      <c r="E3">
        <v>24</v>
      </c>
      <c r="F3" s="2">
        <f>E3*D3/60</f>
        <v>6</v>
      </c>
      <c r="G3" s="2">
        <f t="shared" ref="G3:G15" si="0">F3*12</f>
        <v>72</v>
      </c>
      <c r="H3">
        <v>1</v>
      </c>
      <c r="I3" t="s">
        <v>37</v>
      </c>
      <c r="J3" t="s">
        <v>38</v>
      </c>
      <c r="K3" s="18">
        <v>60</v>
      </c>
      <c r="L3">
        <v>24</v>
      </c>
      <c r="M3" s="2">
        <f>L3*K3/60</f>
        <v>24</v>
      </c>
      <c r="N3" s="2">
        <f>M3*12</f>
        <v>288</v>
      </c>
    </row>
    <row r="4" spans="1:14" x14ac:dyDescent="0.2">
      <c r="A4">
        <f>A3+1</f>
        <v>2</v>
      </c>
      <c r="B4" t="s">
        <v>9</v>
      </c>
      <c r="C4" t="s">
        <v>17</v>
      </c>
      <c r="D4" s="18">
        <f>15</f>
        <v>15</v>
      </c>
      <c r="E4">
        <f>2*24</f>
        <v>48</v>
      </c>
      <c r="F4" s="2">
        <f>D4*E4/60</f>
        <v>12</v>
      </c>
      <c r="G4" s="2">
        <f t="shared" si="0"/>
        <v>144</v>
      </c>
      <c r="H4">
        <f>H3+1</f>
        <v>2</v>
      </c>
      <c r="I4" t="s">
        <v>41</v>
      </c>
      <c r="J4" t="s">
        <v>42</v>
      </c>
      <c r="K4" s="18">
        <f>45*6</f>
        <v>270</v>
      </c>
      <c r="L4">
        <v>24</v>
      </c>
      <c r="M4" s="2">
        <f>L4*K4/60</f>
        <v>108</v>
      </c>
      <c r="N4" s="2">
        <f>M4*12</f>
        <v>1296</v>
      </c>
    </row>
    <row r="5" spans="1:14" x14ac:dyDescent="0.2">
      <c r="A5">
        <f t="shared" ref="A5:A17" si="1">A4+1</f>
        <v>3</v>
      </c>
      <c r="B5" t="s">
        <v>10</v>
      </c>
      <c r="C5" t="s">
        <v>18</v>
      </c>
      <c r="D5" s="18">
        <f>3*60</f>
        <v>180</v>
      </c>
      <c r="E5" s="3">
        <f>1/3</f>
        <v>0.33333333333333331</v>
      </c>
      <c r="F5" s="4">
        <f>D5*E5/60</f>
        <v>1</v>
      </c>
      <c r="G5" s="2">
        <f t="shared" si="0"/>
        <v>12</v>
      </c>
      <c r="H5">
        <f t="shared" ref="H5:H17" si="2">H4+1</f>
        <v>3</v>
      </c>
      <c r="I5" t="s">
        <v>44</v>
      </c>
      <c r="J5" t="s">
        <v>45</v>
      </c>
      <c r="K5" s="18">
        <v>30</v>
      </c>
      <c r="L5" s="13">
        <v>24</v>
      </c>
      <c r="M5" s="2">
        <f>L5*K5/60</f>
        <v>12</v>
      </c>
      <c r="N5" s="2">
        <f>M5*12</f>
        <v>144</v>
      </c>
    </row>
    <row r="6" spans="1:14" x14ac:dyDescent="0.2">
      <c r="A6">
        <f t="shared" si="1"/>
        <v>4</v>
      </c>
      <c r="B6" t="s">
        <v>11</v>
      </c>
      <c r="C6" t="s">
        <v>19</v>
      </c>
      <c r="D6" s="18">
        <v>5</v>
      </c>
      <c r="E6">
        <v>8</v>
      </c>
      <c r="F6" s="2">
        <f>ROUND(E6*D6/60,2)</f>
        <v>0.67</v>
      </c>
      <c r="G6" s="2">
        <f t="shared" si="0"/>
        <v>8.0400000000000009</v>
      </c>
      <c r="H6">
        <f t="shared" si="2"/>
        <v>4</v>
      </c>
      <c r="I6" t="s">
        <v>46</v>
      </c>
      <c r="K6" s="18">
        <v>30</v>
      </c>
      <c r="L6" s="13">
        <v>24</v>
      </c>
      <c r="M6" s="2">
        <f>L6*K6/60</f>
        <v>12</v>
      </c>
      <c r="N6" s="2">
        <f>M6*12</f>
        <v>144</v>
      </c>
    </row>
    <row r="7" spans="1:14" x14ac:dyDescent="0.2">
      <c r="A7">
        <f t="shared" si="1"/>
        <v>5</v>
      </c>
      <c r="B7" t="s">
        <v>12</v>
      </c>
      <c r="C7" t="s">
        <v>20</v>
      </c>
      <c r="D7" s="18">
        <v>45</v>
      </c>
      <c r="E7">
        <v>3</v>
      </c>
      <c r="F7" s="2">
        <f>E7*D7/60</f>
        <v>2.25</v>
      </c>
      <c r="G7" s="2">
        <f t="shared" si="0"/>
        <v>27</v>
      </c>
      <c r="H7">
        <f t="shared" si="2"/>
        <v>5</v>
      </c>
      <c r="K7" s="1"/>
      <c r="M7" s="2"/>
      <c r="N7" s="2"/>
    </row>
    <row r="8" spans="1:14" x14ac:dyDescent="0.2">
      <c r="A8">
        <f t="shared" si="1"/>
        <v>6</v>
      </c>
      <c r="B8" t="s">
        <v>13</v>
      </c>
      <c r="C8" t="s">
        <v>24</v>
      </c>
      <c r="D8" s="18">
        <v>30</v>
      </c>
      <c r="E8">
        <v>24</v>
      </c>
      <c r="F8" s="2">
        <f>E8*D8/60</f>
        <v>12</v>
      </c>
      <c r="G8" s="2">
        <f t="shared" si="0"/>
        <v>144</v>
      </c>
      <c r="H8">
        <f t="shared" si="2"/>
        <v>6</v>
      </c>
      <c r="K8" s="1"/>
      <c r="M8" s="2"/>
      <c r="N8" s="2"/>
    </row>
    <row r="9" spans="1:14" ht="31" customHeight="1" x14ac:dyDescent="0.2">
      <c r="A9">
        <f t="shared" si="1"/>
        <v>7</v>
      </c>
      <c r="B9" s="11" t="s">
        <v>14</v>
      </c>
      <c r="C9" s="11" t="s">
        <v>23</v>
      </c>
      <c r="D9" s="19">
        <f>8*60</f>
        <v>480</v>
      </c>
      <c r="E9" s="9">
        <v>2</v>
      </c>
      <c r="F9" s="10">
        <f>E9*D9/60</f>
        <v>16</v>
      </c>
      <c r="G9" s="10">
        <f t="shared" si="0"/>
        <v>192</v>
      </c>
      <c r="H9">
        <f t="shared" si="2"/>
        <v>7</v>
      </c>
      <c r="K9" s="8"/>
      <c r="L9" s="9"/>
      <c r="M9" s="10"/>
      <c r="N9" s="10"/>
    </row>
    <row r="10" spans="1:14" x14ac:dyDescent="0.2">
      <c r="A10">
        <f t="shared" si="1"/>
        <v>8</v>
      </c>
      <c r="B10" t="s">
        <v>21</v>
      </c>
      <c r="C10" t="s">
        <v>22</v>
      </c>
      <c r="D10" s="18">
        <v>10</v>
      </c>
      <c r="E10">
        <v>24</v>
      </c>
      <c r="F10" s="2">
        <f>D10*E10/60</f>
        <v>4</v>
      </c>
      <c r="G10" s="2">
        <f t="shared" si="0"/>
        <v>48</v>
      </c>
      <c r="H10">
        <f t="shared" si="2"/>
        <v>8</v>
      </c>
      <c r="K10" s="1"/>
      <c r="M10" s="2"/>
      <c r="N10" s="2"/>
    </row>
    <row r="11" spans="1:14" x14ac:dyDescent="0.2">
      <c r="A11">
        <f t="shared" si="1"/>
        <v>9</v>
      </c>
      <c r="B11" t="s">
        <v>26</v>
      </c>
      <c r="C11" t="s">
        <v>27</v>
      </c>
      <c r="D11" s="18">
        <f>60*4</f>
        <v>240</v>
      </c>
      <c r="E11">
        <v>24</v>
      </c>
      <c r="F11" s="2">
        <f>E11*D11/60</f>
        <v>96</v>
      </c>
      <c r="G11" s="2">
        <f t="shared" si="0"/>
        <v>1152</v>
      </c>
      <c r="H11">
        <f t="shared" si="2"/>
        <v>9</v>
      </c>
      <c r="K11" s="1"/>
      <c r="M11" s="2"/>
      <c r="N11" s="2"/>
    </row>
    <row r="12" spans="1:14" x14ac:dyDescent="0.2">
      <c r="A12">
        <f t="shared" si="1"/>
        <v>10</v>
      </c>
      <c r="B12" t="s">
        <v>28</v>
      </c>
      <c r="C12" t="s">
        <v>36</v>
      </c>
      <c r="D12" s="18">
        <v>30</v>
      </c>
      <c r="E12">
        <v>2</v>
      </c>
      <c r="F12" s="2">
        <f>E12*D12/60</f>
        <v>1</v>
      </c>
      <c r="G12" s="2">
        <f t="shared" si="0"/>
        <v>12</v>
      </c>
      <c r="H12">
        <f t="shared" si="2"/>
        <v>10</v>
      </c>
      <c r="K12" s="1"/>
      <c r="M12" s="2"/>
      <c r="N12" s="2"/>
    </row>
    <row r="13" spans="1:14" x14ac:dyDescent="0.2">
      <c r="A13">
        <f t="shared" si="1"/>
        <v>11</v>
      </c>
      <c r="B13" t="s">
        <v>29</v>
      </c>
      <c r="C13" t="s">
        <v>33</v>
      </c>
      <c r="D13" s="18">
        <v>30</v>
      </c>
      <c r="E13">
        <v>5</v>
      </c>
      <c r="F13" s="2">
        <f>E13*D13/60</f>
        <v>2.5</v>
      </c>
      <c r="G13" s="2">
        <f t="shared" si="0"/>
        <v>30</v>
      </c>
      <c r="H13">
        <f t="shared" si="2"/>
        <v>11</v>
      </c>
      <c r="K13" s="1"/>
      <c r="M13" s="2"/>
      <c r="N13" s="2"/>
    </row>
    <row r="14" spans="1:14" x14ac:dyDescent="0.2">
      <c r="A14">
        <f t="shared" si="1"/>
        <v>12</v>
      </c>
      <c r="B14" t="s">
        <v>30</v>
      </c>
      <c r="C14" t="s">
        <v>34</v>
      </c>
      <c r="D14" s="18">
        <v>120</v>
      </c>
      <c r="E14">
        <v>2</v>
      </c>
      <c r="F14" s="2">
        <f>E14*D14/60</f>
        <v>4</v>
      </c>
      <c r="G14" s="2">
        <f t="shared" si="0"/>
        <v>48</v>
      </c>
      <c r="H14">
        <f t="shared" si="2"/>
        <v>12</v>
      </c>
      <c r="K14" s="1"/>
      <c r="M14" s="2"/>
      <c r="N14" s="2"/>
    </row>
    <row r="15" spans="1:14" x14ac:dyDescent="0.2">
      <c r="A15">
        <f t="shared" si="1"/>
        <v>13</v>
      </c>
      <c r="B15" t="s">
        <v>31</v>
      </c>
      <c r="C15" t="s">
        <v>35</v>
      </c>
      <c r="D15" s="18">
        <v>120</v>
      </c>
      <c r="E15">
        <v>15</v>
      </c>
      <c r="F15" s="2">
        <f>E15*D15/60</f>
        <v>30</v>
      </c>
      <c r="G15" s="2">
        <f t="shared" si="0"/>
        <v>360</v>
      </c>
      <c r="H15">
        <f t="shared" si="2"/>
        <v>13</v>
      </c>
      <c r="K15" s="1"/>
      <c r="M15" s="2"/>
      <c r="N15" s="2"/>
    </row>
    <row r="16" spans="1:14" x14ac:dyDescent="0.2">
      <c r="A16">
        <f t="shared" si="1"/>
        <v>14</v>
      </c>
      <c r="D16" s="1"/>
      <c r="F16" s="2"/>
      <c r="G16" s="2"/>
      <c r="H16">
        <f t="shared" si="2"/>
        <v>14</v>
      </c>
    </row>
    <row r="17" spans="1:14" x14ac:dyDescent="0.2">
      <c r="A17">
        <f t="shared" si="1"/>
        <v>15</v>
      </c>
      <c r="D17" s="1"/>
      <c r="F17" s="2"/>
      <c r="G17" s="2"/>
      <c r="H17">
        <f t="shared" si="2"/>
        <v>15</v>
      </c>
    </row>
    <row r="18" spans="1:14" x14ac:dyDescent="0.2">
      <c r="B18" t="s">
        <v>25</v>
      </c>
      <c r="D18" s="1"/>
      <c r="F18" s="2">
        <f>ROUND(SUM(F3:F17),0)</f>
        <v>187</v>
      </c>
      <c r="I18" t="s">
        <v>25</v>
      </c>
      <c r="K18" s="1"/>
      <c r="M18" s="2">
        <f>ROUND(SUM(M3:M17),0)</f>
        <v>156</v>
      </c>
    </row>
    <row r="19" spans="1:14" x14ac:dyDescent="0.2">
      <c r="B19" t="s">
        <v>40</v>
      </c>
      <c r="D19" s="1"/>
      <c r="F19" s="2">
        <f>ROUND(F18/4,0)</f>
        <v>47</v>
      </c>
      <c r="I19" t="s">
        <v>40</v>
      </c>
      <c r="K19" s="1"/>
      <c r="M19" s="2">
        <f>ROUND(M18/4,0)</f>
        <v>39</v>
      </c>
    </row>
    <row r="20" spans="1:14" x14ac:dyDescent="0.2">
      <c r="B20" t="s">
        <v>39</v>
      </c>
      <c r="D20" s="1"/>
      <c r="F20" s="2">
        <f>ROUND(F19/6,0)</f>
        <v>8</v>
      </c>
      <c r="G20" s="2"/>
      <c r="I20" t="s">
        <v>39</v>
      </c>
      <c r="K20" s="1"/>
      <c r="M20" s="2">
        <f>ROUND(M19/6,0)</f>
        <v>7</v>
      </c>
    </row>
    <row r="21" spans="1:14" x14ac:dyDescent="0.2">
      <c r="D21" s="1"/>
      <c r="F21" s="2"/>
      <c r="G21" s="2"/>
      <c r="K21" s="1"/>
      <c r="M21" s="2"/>
    </row>
    <row r="22" spans="1:14" x14ac:dyDescent="0.2">
      <c r="D22" s="1"/>
      <c r="F22" s="2"/>
      <c r="G22" s="2"/>
      <c r="K22" s="1"/>
      <c r="M22" s="2"/>
    </row>
    <row r="23" spans="1:14" x14ac:dyDescent="0.2">
      <c r="D23" s="1"/>
      <c r="F23" s="2"/>
      <c r="G23" s="2"/>
      <c r="K23" s="1"/>
      <c r="M23" s="2"/>
    </row>
    <row r="24" spans="1:14" x14ac:dyDescent="0.2">
      <c r="D24" s="1"/>
      <c r="F24" s="2"/>
      <c r="G24" s="2"/>
      <c r="K24" s="1"/>
      <c r="M24" s="2"/>
    </row>
    <row r="25" spans="1:14" x14ac:dyDescent="0.2">
      <c r="B25" s="6" t="s">
        <v>66</v>
      </c>
      <c r="C25" s="7"/>
      <c r="D25" s="15"/>
      <c r="E25" s="7"/>
      <c r="F25" s="2"/>
      <c r="G25" s="2"/>
      <c r="I25" s="6" t="s">
        <v>65</v>
      </c>
      <c r="J25" s="7"/>
      <c r="K25" s="1"/>
      <c r="M25" s="2"/>
    </row>
    <row r="26" spans="1:14" x14ac:dyDescent="0.2">
      <c r="B26" s="5" t="s">
        <v>6</v>
      </c>
      <c r="C26" s="5" t="s">
        <v>15</v>
      </c>
      <c r="D26" s="5" t="s">
        <v>2</v>
      </c>
      <c r="E26" s="5" t="s">
        <v>3</v>
      </c>
      <c r="F26" s="5" t="s">
        <v>4</v>
      </c>
      <c r="G26" s="5" t="s">
        <v>5</v>
      </c>
      <c r="I26" s="5" t="s">
        <v>7</v>
      </c>
      <c r="J26" s="5" t="s">
        <v>15</v>
      </c>
      <c r="K26" s="5" t="s">
        <v>2</v>
      </c>
      <c r="L26" s="5" t="s">
        <v>3</v>
      </c>
      <c r="M26" s="5" t="s">
        <v>4</v>
      </c>
      <c r="N26" s="5" t="s">
        <v>5</v>
      </c>
    </row>
    <row r="27" spans="1:14" x14ac:dyDescent="0.2">
      <c r="A27">
        <v>1</v>
      </c>
      <c r="B27" t="s">
        <v>47</v>
      </c>
      <c r="C27" t="s">
        <v>48</v>
      </c>
      <c r="D27" s="18">
        <v>30</v>
      </c>
      <c r="E27">
        <v>5</v>
      </c>
      <c r="F27" s="2">
        <f>E27*D27/60</f>
        <v>2.5</v>
      </c>
      <c r="G27" s="2">
        <f>F27*12</f>
        <v>30</v>
      </c>
      <c r="H27">
        <v>1</v>
      </c>
      <c r="I27" t="s">
        <v>53</v>
      </c>
      <c r="J27" s="14" t="s">
        <v>60</v>
      </c>
      <c r="K27" s="18">
        <v>120</v>
      </c>
      <c r="L27">
        <v>24</v>
      </c>
      <c r="M27" s="2">
        <f>L27*K27/60</f>
        <v>48</v>
      </c>
      <c r="N27" s="2">
        <f>M27*12</f>
        <v>576</v>
      </c>
    </row>
    <row r="28" spans="1:14" x14ac:dyDescent="0.2">
      <c r="A28">
        <f>A27+1</f>
        <v>2</v>
      </c>
      <c r="B28" t="s">
        <v>50</v>
      </c>
      <c r="C28" t="s">
        <v>49</v>
      </c>
      <c r="D28" s="18">
        <v>30</v>
      </c>
      <c r="E28">
        <v>5</v>
      </c>
      <c r="F28" s="2">
        <f>E28*D28/60</f>
        <v>2.5</v>
      </c>
      <c r="G28" s="2">
        <f>F28*12</f>
        <v>30</v>
      </c>
      <c r="H28">
        <f>H27+1</f>
        <v>2</v>
      </c>
      <c r="I28" t="s">
        <v>55</v>
      </c>
      <c r="J28" t="s">
        <v>61</v>
      </c>
      <c r="K28" s="18">
        <v>180</v>
      </c>
      <c r="L28">
        <v>20</v>
      </c>
      <c r="M28" s="2">
        <f>L28*K28/60</f>
        <v>60</v>
      </c>
      <c r="N28" s="2">
        <f>M28*12</f>
        <v>720</v>
      </c>
    </row>
    <row r="29" spans="1:14" x14ac:dyDescent="0.2">
      <c r="A29">
        <f t="shared" ref="A29:A43" si="3">A28+1</f>
        <v>3</v>
      </c>
      <c r="B29" t="s">
        <v>51</v>
      </c>
      <c r="C29" t="s">
        <v>52</v>
      </c>
      <c r="D29" s="18">
        <f>8*60</f>
        <v>480</v>
      </c>
      <c r="E29" s="12">
        <f>1/12</f>
        <v>8.3333333333333329E-2</v>
      </c>
      <c r="F29" s="2">
        <f>ROUND(E29*D29/60,2)</f>
        <v>0.67</v>
      </c>
      <c r="G29" s="2">
        <f>ROUND(F29*12,0)</f>
        <v>8</v>
      </c>
      <c r="H29">
        <f t="shared" ref="H29:H43" si="4">H28+1</f>
        <v>3</v>
      </c>
      <c r="I29" t="s">
        <v>54</v>
      </c>
      <c r="J29" t="s">
        <v>58</v>
      </c>
      <c r="K29" s="18">
        <v>60</v>
      </c>
      <c r="L29" s="13">
        <v>15</v>
      </c>
      <c r="M29" s="2">
        <f>ROUND(L29*K29/60,2)</f>
        <v>15</v>
      </c>
      <c r="N29" s="2">
        <f>ROUND(M29*12,0)</f>
        <v>180</v>
      </c>
    </row>
    <row r="30" spans="1:14" x14ac:dyDescent="0.2">
      <c r="A30">
        <f t="shared" si="3"/>
        <v>4</v>
      </c>
      <c r="H30">
        <f t="shared" si="4"/>
        <v>4</v>
      </c>
      <c r="I30" t="s">
        <v>56</v>
      </c>
      <c r="J30" t="s">
        <v>59</v>
      </c>
      <c r="K30" s="18">
        <v>120</v>
      </c>
      <c r="L30" s="13">
        <v>4</v>
      </c>
      <c r="M30" s="2">
        <f t="shared" ref="M30:M31" si="5">ROUND(L30*K30/60,2)</f>
        <v>8</v>
      </c>
      <c r="N30" s="2">
        <f t="shared" ref="N30:N32" si="6">ROUND(M30*12,0)</f>
        <v>96</v>
      </c>
    </row>
    <row r="31" spans="1:14" x14ac:dyDescent="0.2">
      <c r="A31">
        <f t="shared" si="3"/>
        <v>5</v>
      </c>
      <c r="H31">
        <f t="shared" si="4"/>
        <v>5</v>
      </c>
      <c r="I31" t="s">
        <v>57</v>
      </c>
      <c r="J31" t="s">
        <v>62</v>
      </c>
      <c r="K31" s="18">
        <v>60</v>
      </c>
      <c r="L31" s="13">
        <v>24</v>
      </c>
      <c r="M31" s="2">
        <f t="shared" si="5"/>
        <v>24</v>
      </c>
      <c r="N31" s="2">
        <f t="shared" si="6"/>
        <v>288</v>
      </c>
    </row>
    <row r="32" spans="1:14" x14ac:dyDescent="0.2">
      <c r="A32">
        <f t="shared" si="3"/>
        <v>6</v>
      </c>
      <c r="H32">
        <f t="shared" si="4"/>
        <v>6</v>
      </c>
      <c r="I32" t="s">
        <v>63</v>
      </c>
      <c r="J32" t="s">
        <v>64</v>
      </c>
      <c r="K32" s="18">
        <v>60</v>
      </c>
      <c r="L32" s="13">
        <v>24</v>
      </c>
      <c r="M32" s="2">
        <f t="shared" ref="M32" si="7">ROUND(L32*K32/60,2)</f>
        <v>24</v>
      </c>
      <c r="N32" s="2">
        <f t="shared" si="6"/>
        <v>288</v>
      </c>
    </row>
    <row r="33" spans="1:13" x14ac:dyDescent="0.2">
      <c r="A33">
        <f t="shared" si="3"/>
        <v>7</v>
      </c>
      <c r="H33">
        <f t="shared" si="4"/>
        <v>7</v>
      </c>
    </row>
    <row r="34" spans="1:13" x14ac:dyDescent="0.2">
      <c r="A34">
        <f t="shared" si="3"/>
        <v>8</v>
      </c>
      <c r="H34">
        <f t="shared" si="4"/>
        <v>8</v>
      </c>
    </row>
    <row r="35" spans="1:13" x14ac:dyDescent="0.2">
      <c r="A35">
        <f t="shared" si="3"/>
        <v>9</v>
      </c>
      <c r="H35">
        <f t="shared" si="4"/>
        <v>9</v>
      </c>
    </row>
    <row r="36" spans="1:13" x14ac:dyDescent="0.2">
      <c r="A36">
        <f t="shared" si="3"/>
        <v>10</v>
      </c>
      <c r="H36">
        <f t="shared" si="4"/>
        <v>10</v>
      </c>
    </row>
    <row r="37" spans="1:13" x14ac:dyDescent="0.2">
      <c r="A37">
        <f t="shared" si="3"/>
        <v>11</v>
      </c>
      <c r="H37">
        <f t="shared" si="4"/>
        <v>11</v>
      </c>
    </row>
    <row r="38" spans="1:13" x14ac:dyDescent="0.2">
      <c r="A38">
        <f t="shared" si="3"/>
        <v>12</v>
      </c>
      <c r="H38">
        <f t="shared" si="4"/>
        <v>12</v>
      </c>
    </row>
    <row r="39" spans="1:13" x14ac:dyDescent="0.2">
      <c r="A39">
        <f t="shared" si="3"/>
        <v>13</v>
      </c>
      <c r="H39">
        <f t="shared" si="4"/>
        <v>13</v>
      </c>
    </row>
    <row r="40" spans="1:13" x14ac:dyDescent="0.2">
      <c r="A40">
        <f t="shared" si="3"/>
        <v>14</v>
      </c>
      <c r="H40">
        <f t="shared" si="4"/>
        <v>14</v>
      </c>
    </row>
    <row r="41" spans="1:13" x14ac:dyDescent="0.2">
      <c r="A41">
        <f t="shared" si="3"/>
        <v>15</v>
      </c>
      <c r="H41">
        <f t="shared" si="4"/>
        <v>15</v>
      </c>
    </row>
    <row r="42" spans="1:13" x14ac:dyDescent="0.2">
      <c r="A42">
        <f t="shared" si="3"/>
        <v>16</v>
      </c>
      <c r="H42">
        <f t="shared" si="4"/>
        <v>16</v>
      </c>
    </row>
    <row r="43" spans="1:13" x14ac:dyDescent="0.2">
      <c r="A43">
        <f t="shared" si="3"/>
        <v>17</v>
      </c>
      <c r="H43">
        <f t="shared" si="4"/>
        <v>17</v>
      </c>
    </row>
    <row r="44" spans="1:13" x14ac:dyDescent="0.2">
      <c r="B44" t="s">
        <v>25</v>
      </c>
      <c r="D44" s="1"/>
      <c r="F44" s="2">
        <f>ROUND(SUM(F27:F43),0)</f>
        <v>6</v>
      </c>
      <c r="I44" t="s">
        <v>25</v>
      </c>
      <c r="K44" s="1"/>
      <c r="M44" s="2">
        <f>ROUND(SUM(M27:M43),0)</f>
        <v>179</v>
      </c>
    </row>
    <row r="45" spans="1:13" x14ac:dyDescent="0.2">
      <c r="B45" t="s">
        <v>40</v>
      </c>
      <c r="D45" s="1"/>
      <c r="F45" s="2">
        <f>ROUND(F44/4,0)</f>
        <v>2</v>
      </c>
      <c r="I45" t="s">
        <v>40</v>
      </c>
      <c r="K45" s="1"/>
      <c r="M45" s="2">
        <f>ROUND(M44/4,0)</f>
        <v>45</v>
      </c>
    </row>
    <row r="46" spans="1:13" x14ac:dyDescent="0.2">
      <c r="B46" t="s">
        <v>39</v>
      </c>
      <c r="D46" s="1"/>
      <c r="F46" s="2">
        <f>ROUND(F45/6,0)</f>
        <v>0</v>
      </c>
      <c r="I46" t="s">
        <v>39</v>
      </c>
      <c r="K46" s="1"/>
      <c r="M46" s="2">
        <f>ROUND(M45/6,0)</f>
        <v>8</v>
      </c>
    </row>
  </sheetData>
  <pageMargins left="0.7" right="0.7" top="0.75" bottom="0.75" header="0.3" footer="0.3"/>
  <pageSetup paperSize="9"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515DD-8292-1C47-BA06-9FAAB44924B1}">
  <sheetPr codeName="Sheet2"/>
  <dimension ref="A1:AI44"/>
  <sheetViews>
    <sheetView showGridLines="0" zoomScale="66" zoomScaleNormal="114" workbookViewId="0">
      <selection activeCell="C196" sqref="C196:H196"/>
    </sheetView>
  </sheetViews>
  <sheetFormatPr baseColWidth="10" defaultRowHeight="16" outlineLevelRow="1" outlineLevelCol="1" x14ac:dyDescent="0.2"/>
  <cols>
    <col min="1" max="1" width="2.6640625" customWidth="1" outlineLevel="1"/>
    <col min="2" max="2" width="3.6640625" customWidth="1" outlineLevel="1"/>
    <col min="3" max="4" width="29.33203125" customWidth="1" outlineLevel="1"/>
    <col min="5" max="5" width="63.83203125" customWidth="1" outlineLevel="1"/>
    <col min="6" max="6" width="55.1640625" customWidth="1" outlineLevel="1"/>
    <col min="7" max="7" width="12.33203125" customWidth="1" outlineLevel="1"/>
    <col min="8" max="8" width="32.83203125" customWidth="1" outlineLevel="1"/>
    <col min="9" max="9" width="30.83203125" customWidth="1" outlineLevel="1"/>
    <col min="10" max="10" width="34.5" customWidth="1" outlineLevel="1"/>
    <col min="11" max="11" width="12.33203125" customWidth="1" outlineLevel="1"/>
    <col min="12" max="12" width="33.83203125" customWidth="1" outlineLevel="1"/>
    <col min="13" max="13" width="10.83203125" customWidth="1" outlineLevel="1"/>
    <col min="14" max="14" width="3.6640625" customWidth="1" outlineLevel="1"/>
    <col min="15" max="15" width="43.5" customWidth="1" outlineLevel="1"/>
    <col min="16" max="16" width="63.83203125" customWidth="1" outlineLevel="1"/>
    <col min="17" max="17" width="55.1640625" customWidth="1" outlineLevel="1"/>
    <col min="18" max="18" width="11.6640625" customWidth="1" outlineLevel="1"/>
    <col min="19" max="19" width="32.83203125" customWidth="1" outlineLevel="1"/>
    <col min="20" max="20" width="30.83203125" customWidth="1" outlineLevel="1"/>
    <col min="21" max="21" width="34.5" customWidth="1" outlineLevel="1"/>
    <col min="22" max="22" width="11.6640625" customWidth="1" outlineLevel="1"/>
    <col min="23" max="23" width="33.83203125" customWidth="1" outlineLevel="1"/>
    <col min="24" max="28" width="10.83203125" customWidth="1" outlineLevel="1"/>
    <col min="30" max="30" width="20" bestFit="1" customWidth="1"/>
    <col min="31" max="31" width="18.1640625" customWidth="1"/>
    <col min="32" max="32" width="18.6640625" customWidth="1"/>
    <col min="33" max="33" width="15.6640625" customWidth="1"/>
    <col min="34" max="35" width="11.83203125" bestFit="1" customWidth="1"/>
  </cols>
  <sheetData>
    <row r="1" spans="2:35" x14ac:dyDescent="0.2">
      <c r="AC1" s="6" t="s">
        <v>120</v>
      </c>
      <c r="AD1" s="7"/>
    </row>
    <row r="2" spans="2:35" ht="92" customHeight="1" x14ac:dyDescent="0.2">
      <c r="B2" s="49" t="s">
        <v>86</v>
      </c>
      <c r="C2" s="50" t="s">
        <v>0</v>
      </c>
      <c r="D2" s="50" t="s">
        <v>107</v>
      </c>
      <c r="E2" s="50" t="s">
        <v>87</v>
      </c>
      <c r="F2" s="50" t="s">
        <v>88</v>
      </c>
      <c r="G2" s="50" t="s">
        <v>67</v>
      </c>
      <c r="H2" s="50" t="s">
        <v>83</v>
      </c>
      <c r="I2" s="50" t="s">
        <v>84</v>
      </c>
      <c r="J2" s="50" t="s">
        <v>69</v>
      </c>
      <c r="K2" s="50" t="s">
        <v>67</v>
      </c>
      <c r="L2" s="50" t="s">
        <v>85</v>
      </c>
      <c r="N2" s="49" t="s">
        <v>86</v>
      </c>
      <c r="O2" s="50" t="s">
        <v>1</v>
      </c>
      <c r="P2" s="50" t="s">
        <v>87</v>
      </c>
      <c r="Q2" s="50" t="s">
        <v>88</v>
      </c>
      <c r="R2" s="50" t="s">
        <v>67</v>
      </c>
      <c r="S2" s="50" t="s">
        <v>83</v>
      </c>
      <c r="T2" s="50" t="s">
        <v>84</v>
      </c>
      <c r="U2" s="50" t="s">
        <v>92</v>
      </c>
      <c r="V2" s="50" t="s">
        <v>67</v>
      </c>
      <c r="W2" s="50" t="s">
        <v>85</v>
      </c>
      <c r="AD2" s="58" t="s">
        <v>15</v>
      </c>
      <c r="AE2" s="58" t="s">
        <v>114</v>
      </c>
      <c r="AF2" s="58" t="s">
        <v>115</v>
      </c>
      <c r="AG2" s="58" t="s">
        <v>116</v>
      </c>
      <c r="AH2" s="58" t="s">
        <v>117</v>
      </c>
      <c r="AI2" s="58" t="s">
        <v>118</v>
      </c>
    </row>
    <row r="3" spans="2:35" ht="85" x14ac:dyDescent="0.2">
      <c r="B3" s="41">
        <f>Traditional!A3</f>
        <v>1</v>
      </c>
      <c r="C3" s="42" t="str">
        <f>Traditional!B3</f>
        <v>Attendance</v>
      </c>
      <c r="D3" s="52" t="s">
        <v>108</v>
      </c>
      <c r="E3" s="43" t="str">
        <f>Traditional!C3</f>
        <v>Daily attendance at the start of the day, recording in registers/ERP system</v>
      </c>
      <c r="F3" s="43" t="s">
        <v>68</v>
      </c>
      <c r="G3" s="45">
        <v>0.5</v>
      </c>
      <c r="H3" s="46">
        <f>Traditional!F3</f>
        <v>6</v>
      </c>
      <c r="I3" s="47">
        <f>H3*(1-G3)</f>
        <v>3</v>
      </c>
      <c r="J3" s="44" t="s">
        <v>71</v>
      </c>
      <c r="K3" s="45">
        <v>0.9</v>
      </c>
      <c r="L3" s="48">
        <f>H3*(1-K3)</f>
        <v>0.59999999999999987</v>
      </c>
      <c r="N3" s="41">
        <f>B3</f>
        <v>1</v>
      </c>
      <c r="O3" s="42" t="str">
        <f>Traditional!I3</f>
        <v>Time Spent on AI for education</v>
      </c>
      <c r="P3" s="51" t="s">
        <v>89</v>
      </c>
      <c r="Q3" s="51" t="s">
        <v>90</v>
      </c>
      <c r="R3" s="45">
        <v>0</v>
      </c>
      <c r="S3" s="46">
        <f>Traditional!M3</f>
        <v>24</v>
      </c>
      <c r="T3" s="47">
        <f>IF(R3=0%,S3,R3*S3)</f>
        <v>24</v>
      </c>
      <c r="U3" s="52" t="s">
        <v>91</v>
      </c>
      <c r="V3" s="52" t="s">
        <v>91</v>
      </c>
      <c r="W3" s="55" t="s">
        <v>91</v>
      </c>
      <c r="AD3" s="59" t="s">
        <v>108</v>
      </c>
      <c r="AE3" s="60">
        <f>SUMIF($D$3:$D$15,AD3,EduWand!H$3:H$15)</f>
        <v>59.5</v>
      </c>
      <c r="AF3" s="60">
        <f>SUMIF($D$3:$D$15,AD3,EduWand!I$3:I$15)</f>
        <v>30.1</v>
      </c>
      <c r="AG3" s="63">
        <f>AF3/AE3-1</f>
        <v>-0.49411764705882355</v>
      </c>
      <c r="AH3" s="63">
        <f>AE3/$AE$6</f>
        <v>0.31746878668231776</v>
      </c>
      <c r="AI3" s="63">
        <f>AF3/$AF$6</f>
        <v>0.22490613344513607</v>
      </c>
    </row>
    <row r="4" spans="2:35" ht="68" x14ac:dyDescent="0.2">
      <c r="B4" s="16">
        <f>Traditional!A4</f>
        <v>2</v>
      </c>
      <c r="C4" s="29" t="str">
        <f>Traditional!B4</f>
        <v>Lesson Planning</v>
      </c>
      <c r="D4" s="33" t="s">
        <v>109</v>
      </c>
      <c r="E4" s="30" t="str">
        <f>Traditional!C4</f>
        <v>Each class needs to be planned and teachers keep records or what was done, and what are next classes aimed for and how they can deliver the same (eg: CBSE Mandated 5E lesson plans to be recorded by teachers for documentation)</v>
      </c>
      <c r="F4" s="30" t="s">
        <v>72</v>
      </c>
      <c r="G4" s="38">
        <v>0.91666666666666663</v>
      </c>
      <c r="H4" s="36">
        <f>Traditional!F4</f>
        <v>12</v>
      </c>
      <c r="I4" s="32">
        <f t="shared" ref="I4:I15" si="0">H4*(1-G4)</f>
        <v>1.0000000000000004</v>
      </c>
      <c r="J4" s="30" t="s">
        <v>73</v>
      </c>
      <c r="K4" s="38">
        <v>0.91666666666666663</v>
      </c>
      <c r="L4" s="39">
        <f>H4*(1-K4)</f>
        <v>1.0000000000000004</v>
      </c>
      <c r="N4" s="16">
        <f t="shared" ref="N4:N15" si="1">B4</f>
        <v>2</v>
      </c>
      <c r="O4" s="29" t="str">
        <f>Traditional!I4</f>
        <v>Time Spent in classroom</v>
      </c>
      <c r="P4" s="53" t="s">
        <v>93</v>
      </c>
      <c r="Q4" s="53" t="s">
        <v>94</v>
      </c>
      <c r="R4" s="38">
        <v>0</v>
      </c>
      <c r="S4" s="46">
        <f>Traditional!M4</f>
        <v>108</v>
      </c>
      <c r="T4" s="47">
        <f t="shared" ref="T4:T6" si="2">IF(R4=0%,S4,R4*S4)</f>
        <v>108</v>
      </c>
      <c r="U4" s="52" t="s">
        <v>91</v>
      </c>
      <c r="V4" s="52" t="s">
        <v>91</v>
      </c>
      <c r="W4" s="56" t="s">
        <v>91</v>
      </c>
      <c r="AD4" s="59" t="s">
        <v>109</v>
      </c>
      <c r="AE4" s="60">
        <f>SUMIF($D$3:$D$15,AD4,EduWand!H$3:H$15)</f>
        <v>29.67</v>
      </c>
      <c r="AF4" s="60">
        <f>SUMIF($D$3:$D$15,AD4,EduWand!I$3:I$15)</f>
        <v>7.4836111111111121</v>
      </c>
      <c r="AG4" s="63">
        <f t="shared" ref="AG4:AG6" si="3">AF4/AE4-1</f>
        <v>-0.7477717859416545</v>
      </c>
      <c r="AH4" s="63">
        <f t="shared" ref="AH4:AH6" si="4">AE4/$AE$6</f>
        <v>0.15830754455234233</v>
      </c>
      <c r="AI4" s="63">
        <f t="shared" ref="AI4:AI6" si="5">AF4/$AF$6</f>
        <v>5.5917277050068395E-2</v>
      </c>
    </row>
    <row r="5" spans="2:35" ht="85" x14ac:dyDescent="0.2">
      <c r="B5" s="16">
        <f>Traditional!A5</f>
        <v>3</v>
      </c>
      <c r="C5" s="29" t="str">
        <f>Traditional!B5</f>
        <v>Question Bank</v>
      </c>
      <c r="D5" s="33" t="s">
        <v>109</v>
      </c>
      <c r="E5" s="30" t="str">
        <f>Traditional!C5</f>
        <v>Currently only happens for quarter end exams, sources include external guides, competitive exam books, school purchased Books (all static material, nothing adjusting to the need and understanding of a kid)</v>
      </c>
      <c r="F5" s="30" t="s">
        <v>119</v>
      </c>
      <c r="G5" s="38">
        <v>0.97222222222222221</v>
      </c>
      <c r="H5" s="36">
        <f>Traditional!F5</f>
        <v>1</v>
      </c>
      <c r="I5" s="32">
        <f t="shared" si="0"/>
        <v>2.777777777777779E-2</v>
      </c>
      <c r="J5" s="30" t="s">
        <v>73</v>
      </c>
      <c r="K5" s="38">
        <v>0.9819444444444444</v>
      </c>
      <c r="L5" s="39">
        <f>H5*(1-K5)</f>
        <v>1.8055555555555602E-2</v>
      </c>
      <c r="N5" s="16">
        <f t="shared" si="1"/>
        <v>3</v>
      </c>
      <c r="O5" s="29" t="str">
        <f>Traditional!I5</f>
        <v>Homework (if any:P)</v>
      </c>
      <c r="P5" s="54" t="s">
        <v>45</v>
      </c>
      <c r="Q5" s="30" t="s">
        <v>95</v>
      </c>
      <c r="R5" s="38">
        <v>0.2</v>
      </c>
      <c r="S5" s="46">
        <f>Traditional!M5</f>
        <v>12</v>
      </c>
      <c r="T5" s="47">
        <f t="shared" si="2"/>
        <v>2.4000000000000004</v>
      </c>
      <c r="U5" s="52" t="s">
        <v>91</v>
      </c>
      <c r="V5" s="52" t="s">
        <v>91</v>
      </c>
      <c r="W5" s="56" t="s">
        <v>91</v>
      </c>
      <c r="AD5" s="59" t="s">
        <v>26</v>
      </c>
      <c r="AE5" s="60">
        <f>SUMIF($D$3:$D$15,AD5,EduWand!H$3:H$15)</f>
        <v>98.25</v>
      </c>
      <c r="AF5" s="60">
        <f>SUMIF($D$3:$D$15,AD5,EduWand!I$3:I$15)</f>
        <v>96.25</v>
      </c>
      <c r="AG5" s="63">
        <f t="shared" si="3"/>
        <v>-2.0356234096692072E-2</v>
      </c>
      <c r="AH5" s="63">
        <f t="shared" si="4"/>
        <v>0.52422366876533988</v>
      </c>
      <c r="AI5" s="63">
        <f t="shared" si="5"/>
        <v>0.71917658950479557</v>
      </c>
    </row>
    <row r="6" spans="2:35" ht="34" x14ac:dyDescent="0.2">
      <c r="B6" s="16">
        <f>Traditional!A6</f>
        <v>4</v>
      </c>
      <c r="C6" s="29" t="str">
        <f>Traditional!B6</f>
        <v>Content Research</v>
      </c>
      <c r="D6" s="33" t="s">
        <v>109</v>
      </c>
      <c r="E6" s="30" t="str">
        <f>Traditional!C6</f>
        <v>This would include the teacher trying to find online material from youtube, google to explain the same topics in the books available</v>
      </c>
      <c r="F6" s="30" t="s">
        <v>74</v>
      </c>
      <c r="G6" s="38">
        <v>0.91666666666666663</v>
      </c>
      <c r="H6" s="36">
        <f>Traditional!F6</f>
        <v>0.67</v>
      </c>
      <c r="I6" s="32">
        <f t="shared" si="0"/>
        <v>5.583333333333336E-2</v>
      </c>
      <c r="J6" s="30" t="s">
        <v>73</v>
      </c>
      <c r="K6" s="38">
        <v>0.91666666666666663</v>
      </c>
      <c r="L6" s="39">
        <f>H6*(1-K6)</f>
        <v>5.583333333333336E-2</v>
      </c>
      <c r="N6" s="16">
        <f t="shared" si="1"/>
        <v>4</v>
      </c>
      <c r="O6" s="29" t="str">
        <f>Traditional!I6</f>
        <v>Co-curricular activities (Projects,competitions etc)</v>
      </c>
      <c r="P6" s="53" t="s">
        <v>96</v>
      </c>
      <c r="Q6" s="53" t="s">
        <v>97</v>
      </c>
      <c r="R6" s="38">
        <v>0.2</v>
      </c>
      <c r="S6" s="46">
        <f>Traditional!M6</f>
        <v>12</v>
      </c>
      <c r="T6" s="47">
        <f t="shared" si="2"/>
        <v>2.4000000000000004</v>
      </c>
      <c r="U6" s="52" t="s">
        <v>91</v>
      </c>
      <c r="V6" s="52" t="s">
        <v>91</v>
      </c>
      <c r="W6" s="56" t="s">
        <v>91</v>
      </c>
      <c r="AD6" s="61" t="s">
        <v>25</v>
      </c>
      <c r="AE6" s="62">
        <f>SUM(AE3:AE5)</f>
        <v>187.42000000000002</v>
      </c>
      <c r="AF6" s="62">
        <f>SUM(AF3:AF5)</f>
        <v>133.83361111111111</v>
      </c>
      <c r="AG6" s="64">
        <f t="shared" si="3"/>
        <v>-0.28591606492844357</v>
      </c>
      <c r="AH6" s="64">
        <f t="shared" si="4"/>
        <v>1</v>
      </c>
      <c r="AI6" s="64">
        <f t="shared" si="5"/>
        <v>1</v>
      </c>
    </row>
    <row r="7" spans="2:35" ht="68" x14ac:dyDescent="0.2">
      <c r="B7" s="16">
        <f>Traditional!A7</f>
        <v>5</v>
      </c>
      <c r="C7" s="29" t="str">
        <f>Traditional!B7</f>
        <v>Doubt Solving</v>
      </c>
      <c r="D7" s="33" t="s">
        <v>26</v>
      </c>
      <c r="E7" s="30" t="str">
        <f>Traditional!C7</f>
        <v>Happens immedietly whena students gets a chance to talk to the teacher, if this happens often after a class, takes up an entire lecture.</v>
      </c>
      <c r="F7" s="30" t="s">
        <v>75</v>
      </c>
      <c r="G7" s="38">
        <v>0.88888888888888884</v>
      </c>
      <c r="H7" s="36">
        <f>Traditional!F7</f>
        <v>2.25</v>
      </c>
      <c r="I7" s="32">
        <f t="shared" si="0"/>
        <v>0.25000000000000011</v>
      </c>
      <c r="J7" s="30" t="s">
        <v>73</v>
      </c>
      <c r="K7" s="38">
        <v>0.91555555555555557</v>
      </c>
      <c r="L7" s="39">
        <f>H7*(1-K7)</f>
        <v>0.18999999999999997</v>
      </c>
      <c r="N7" s="16">
        <f t="shared" si="1"/>
        <v>5</v>
      </c>
      <c r="O7" s="29"/>
      <c r="P7" s="30"/>
      <c r="Q7" s="30"/>
      <c r="R7" s="38"/>
      <c r="S7" s="36"/>
      <c r="T7" s="32"/>
      <c r="U7" s="30"/>
      <c r="V7" s="38"/>
      <c r="W7" s="39"/>
    </row>
    <row r="8" spans="2:35" ht="85" x14ac:dyDescent="0.2">
      <c r="B8" s="16">
        <f>Traditional!A8</f>
        <v>6</v>
      </c>
      <c r="C8" s="29" t="str">
        <f>Traditional!B8</f>
        <v>Parent Communication</v>
      </c>
      <c r="D8" s="52" t="s">
        <v>108</v>
      </c>
      <c r="E8" s="30" t="str">
        <f>Traditional!C8</f>
        <v>In some schools parents are updated on a daily basis of what was done in class through Whatsapp. Rarely any school has a central app for communication. A teacher with a class of 25 students has to deal with 25 set of parents at a time, with updates on groups and responding to individual doubts.</v>
      </c>
      <c r="F8" s="30" t="s">
        <v>76</v>
      </c>
      <c r="G8" s="37">
        <v>0.5</v>
      </c>
      <c r="H8" s="36">
        <f>Traditional!F8</f>
        <v>12</v>
      </c>
      <c r="I8" s="32">
        <f t="shared" si="0"/>
        <v>6</v>
      </c>
      <c r="J8" s="30" t="s">
        <v>77</v>
      </c>
      <c r="K8" s="37">
        <v>0.5</v>
      </c>
      <c r="L8" s="39">
        <f>H8*(1-K8)</f>
        <v>6</v>
      </c>
      <c r="N8" s="16">
        <f t="shared" si="1"/>
        <v>6</v>
      </c>
      <c r="O8" s="29"/>
      <c r="P8" s="30"/>
      <c r="Q8" s="30"/>
      <c r="R8" s="37"/>
      <c r="S8" s="36"/>
      <c r="T8" s="32"/>
      <c r="U8" s="30"/>
      <c r="V8" s="37"/>
      <c r="W8" s="39"/>
    </row>
    <row r="9" spans="2:35" ht="68" x14ac:dyDescent="0.2">
      <c r="B9" s="16">
        <f>Traditional!A9</f>
        <v>7</v>
      </c>
      <c r="C9" s="29" t="str">
        <f>Traditional!B9</f>
        <v>Notebook Correction 
(Homework)</v>
      </c>
      <c r="D9" s="33" t="s">
        <v>109</v>
      </c>
      <c r="E9" s="30" t="str">
        <f>Traditional!C9</f>
        <v>Teachers get their students to do daily assignments in notebooks (K-12), which if the teacher has time, carries it back and forth from classrom to home to staff room to classroom, exposing risks to injury.</v>
      </c>
      <c r="F9" s="30" t="s">
        <v>78</v>
      </c>
      <c r="G9" s="37">
        <v>0.6</v>
      </c>
      <c r="H9" s="36">
        <f>Traditional!F9</f>
        <v>16</v>
      </c>
      <c r="I9" s="32">
        <f t="shared" si="0"/>
        <v>6.4</v>
      </c>
      <c r="J9" s="30" t="s">
        <v>73</v>
      </c>
      <c r="K9" s="37">
        <v>0.7</v>
      </c>
      <c r="L9" s="39">
        <f>H9*(1-K9)</f>
        <v>4.8000000000000007</v>
      </c>
      <c r="N9" s="16">
        <f t="shared" si="1"/>
        <v>7</v>
      </c>
      <c r="O9" s="29"/>
      <c r="P9" s="30"/>
      <c r="Q9" s="30"/>
      <c r="R9" s="37"/>
      <c r="S9" s="36"/>
      <c r="T9" s="32"/>
      <c r="U9" s="30"/>
      <c r="V9" s="37"/>
      <c r="W9" s="39"/>
    </row>
    <row r="10" spans="2:35" ht="51" x14ac:dyDescent="0.2">
      <c r="B10" s="16">
        <f>Traditional!A10</f>
        <v>8</v>
      </c>
      <c r="C10" s="29" t="str">
        <f>Traditional!B10</f>
        <v>LMS Update</v>
      </c>
      <c r="D10" s="52" t="s">
        <v>108</v>
      </c>
      <c r="E10" s="30" t="str">
        <f>Traditional!C10</f>
        <v>Any Learning material the teacher used in class is updated on an LMS Portal (which is never looked back on)</v>
      </c>
      <c r="F10" s="34" t="s">
        <v>79</v>
      </c>
      <c r="G10" s="37">
        <v>1</v>
      </c>
      <c r="H10" s="36">
        <f>Traditional!F10</f>
        <v>4</v>
      </c>
      <c r="I10" s="32">
        <f t="shared" si="0"/>
        <v>0</v>
      </c>
      <c r="J10" s="30" t="s">
        <v>77</v>
      </c>
      <c r="K10" s="37">
        <v>1</v>
      </c>
      <c r="L10" s="39">
        <f>H10*(1-K10)</f>
        <v>0</v>
      </c>
      <c r="N10" s="16">
        <f t="shared" si="1"/>
        <v>8</v>
      </c>
      <c r="O10" s="29"/>
      <c r="P10" s="30"/>
      <c r="Q10" s="34"/>
      <c r="R10" s="37"/>
      <c r="S10" s="36"/>
      <c r="T10" s="32"/>
      <c r="U10" s="30"/>
      <c r="V10" s="37"/>
      <c r="W10" s="39"/>
    </row>
    <row r="11" spans="2:35" ht="68" x14ac:dyDescent="0.2">
      <c r="B11" s="16">
        <f>Traditional!A11</f>
        <v>9</v>
      </c>
      <c r="C11" s="29" t="str">
        <f>Traditional!B11</f>
        <v>Teaching</v>
      </c>
      <c r="D11" s="33" t="s">
        <v>26</v>
      </c>
      <c r="E11" s="30" t="str">
        <f>Traditional!C11</f>
        <v>A K12 Teacher has 3-4 lectures per day</v>
      </c>
      <c r="F11" s="30" t="s">
        <v>463</v>
      </c>
      <c r="G11" s="169">
        <v>0</v>
      </c>
      <c r="H11" s="36">
        <f>Traditional!F11</f>
        <v>96</v>
      </c>
      <c r="I11" s="32">
        <f t="shared" si="0"/>
        <v>96</v>
      </c>
      <c r="J11" s="30" t="s">
        <v>73</v>
      </c>
      <c r="K11" s="169">
        <v>0</v>
      </c>
      <c r="L11" s="39">
        <f>H11*(1-K11)</f>
        <v>96</v>
      </c>
      <c r="N11" s="16">
        <f t="shared" si="1"/>
        <v>9</v>
      </c>
      <c r="O11" s="29"/>
      <c r="P11" s="30"/>
      <c r="Q11" s="30"/>
      <c r="R11" s="37"/>
      <c r="S11" s="36"/>
      <c r="T11" s="32"/>
      <c r="U11" s="30"/>
      <c r="V11" s="37"/>
      <c r="W11" s="39"/>
    </row>
    <row r="12" spans="2:35" ht="34" x14ac:dyDescent="0.2">
      <c r="B12" s="16">
        <f>Traditional!A12</f>
        <v>10</v>
      </c>
      <c r="C12" s="29" t="str">
        <f>Traditional!B12</f>
        <v>Assembly</v>
      </c>
      <c r="D12" s="52" t="s">
        <v>108</v>
      </c>
      <c r="E12" s="30" t="str">
        <f>Traditional!C12</f>
        <v>Every school holds an assembly everyday. Planning involves - news runs, thought of the day, pledge, notice announcments, awards, birthdays.</v>
      </c>
      <c r="F12" s="30" t="s">
        <v>80</v>
      </c>
      <c r="G12" s="37">
        <v>0.8</v>
      </c>
      <c r="H12" s="36">
        <f>Traditional!F12</f>
        <v>1</v>
      </c>
      <c r="I12" s="32">
        <f t="shared" si="0"/>
        <v>0.19999999999999996</v>
      </c>
      <c r="J12" s="30" t="s">
        <v>73</v>
      </c>
      <c r="K12" s="37">
        <v>0.82</v>
      </c>
      <c r="L12" s="39">
        <f>H12*(1-K12)</f>
        <v>0.18000000000000005</v>
      </c>
      <c r="N12" s="16">
        <f t="shared" si="1"/>
        <v>10</v>
      </c>
      <c r="O12" s="29"/>
      <c r="P12" s="30"/>
      <c r="Q12" s="30"/>
      <c r="R12" s="37"/>
      <c r="S12" s="36"/>
      <c r="T12" s="32"/>
      <c r="U12" s="30"/>
      <c r="V12" s="37"/>
      <c r="W12" s="39"/>
    </row>
    <row r="13" spans="2:35" ht="34" x14ac:dyDescent="0.2">
      <c r="B13" s="16">
        <f>Traditional!A13</f>
        <v>11</v>
      </c>
      <c r="C13" s="29" t="str">
        <f>Traditional!B13</f>
        <v>Report Building</v>
      </c>
      <c r="D13" s="52" t="s">
        <v>108</v>
      </c>
      <c r="E13" s="30" t="str">
        <f>Traditional!C13</f>
        <v>Ad hoc reports of students/class/incedent for internal meetings</v>
      </c>
      <c r="F13" s="30" t="s">
        <v>81</v>
      </c>
      <c r="G13" s="37">
        <v>0.8</v>
      </c>
      <c r="H13" s="36">
        <f>Traditional!F13</f>
        <v>2.5</v>
      </c>
      <c r="I13" s="32">
        <f t="shared" si="0"/>
        <v>0.49999999999999989</v>
      </c>
      <c r="J13" s="30" t="s">
        <v>73</v>
      </c>
      <c r="K13" s="37">
        <v>0.82</v>
      </c>
      <c r="L13" s="39">
        <f>H13*(1-K13)</f>
        <v>0.45000000000000012</v>
      </c>
      <c r="N13" s="16">
        <f t="shared" si="1"/>
        <v>11</v>
      </c>
      <c r="O13" s="29"/>
      <c r="P13" s="30"/>
      <c r="Q13" s="30"/>
      <c r="R13" s="37"/>
      <c r="S13" s="36"/>
      <c r="T13" s="32"/>
      <c r="U13" s="30"/>
      <c r="V13" s="37"/>
      <c r="W13" s="39"/>
    </row>
    <row r="14" spans="2:35" ht="34" x14ac:dyDescent="0.2">
      <c r="B14" s="16">
        <f>Traditional!A14</f>
        <v>12</v>
      </c>
      <c r="C14" s="29" t="str">
        <f>Traditional!B14</f>
        <v>Co Corricular Activities</v>
      </c>
      <c r="D14" s="52" t="s">
        <v>108</v>
      </c>
      <c r="E14" s="30" t="str">
        <f>Traditional!C14</f>
        <v>Planning and conducting events/activities/picnics etc to keep students engaged</v>
      </c>
      <c r="F14" s="30" t="s">
        <v>82</v>
      </c>
      <c r="G14" s="37">
        <v>0.4</v>
      </c>
      <c r="H14" s="36">
        <f>Traditional!F14</f>
        <v>4</v>
      </c>
      <c r="I14" s="32">
        <f t="shared" si="0"/>
        <v>2.4</v>
      </c>
      <c r="J14" s="30" t="s">
        <v>77</v>
      </c>
      <c r="K14" s="37">
        <v>0.4</v>
      </c>
      <c r="L14" s="39">
        <f>H14*(1-K14)</f>
        <v>2.4</v>
      </c>
      <c r="N14" s="16">
        <f t="shared" si="1"/>
        <v>12</v>
      </c>
      <c r="O14" s="29"/>
      <c r="P14" s="30"/>
      <c r="Q14" s="30"/>
      <c r="R14" s="37"/>
      <c r="S14" s="36"/>
      <c r="T14" s="32"/>
      <c r="U14" s="30"/>
      <c r="V14" s="37"/>
      <c r="W14" s="39"/>
    </row>
    <row r="15" spans="2:35" ht="34" x14ac:dyDescent="0.2">
      <c r="B15" s="16">
        <f>Traditional!A15</f>
        <v>13</v>
      </c>
      <c r="C15" s="29" t="str">
        <f>Traditional!B15</f>
        <v>School Events</v>
      </c>
      <c r="D15" s="52" t="s">
        <v>108</v>
      </c>
      <c r="E15" s="30" t="str">
        <f>Traditional!C15</f>
        <v>Annual Event Planning - Assumption includes the amount spent on practice in that one month of prepping towards the events</v>
      </c>
      <c r="F15" s="30" t="s">
        <v>82</v>
      </c>
      <c r="G15" s="37">
        <v>0.4</v>
      </c>
      <c r="H15" s="36">
        <f>Traditional!F15</f>
        <v>30</v>
      </c>
      <c r="I15" s="32">
        <f t="shared" si="0"/>
        <v>18</v>
      </c>
      <c r="J15" s="30" t="s">
        <v>77</v>
      </c>
      <c r="K15" s="37">
        <v>0.4</v>
      </c>
      <c r="L15" s="39">
        <f>H15*(1-K15)</f>
        <v>18</v>
      </c>
      <c r="N15" s="16">
        <f t="shared" si="1"/>
        <v>13</v>
      </c>
      <c r="O15" s="29"/>
      <c r="P15" s="30"/>
      <c r="Q15" s="30"/>
      <c r="R15" s="37"/>
      <c r="S15" s="36"/>
      <c r="T15" s="32"/>
      <c r="U15" s="30"/>
      <c r="V15" s="37"/>
      <c r="W15" s="39"/>
    </row>
    <row r="16" spans="2:35" ht="17" hidden="1" outlineLevel="1" x14ac:dyDescent="0.2">
      <c r="B16" s="26">
        <f>Traditional!A16</f>
        <v>14</v>
      </c>
      <c r="C16" s="27">
        <f>Traditional!B16</f>
        <v>0</v>
      </c>
      <c r="D16" s="27"/>
      <c r="E16" s="27">
        <f>Traditional!C16</f>
        <v>0</v>
      </c>
      <c r="F16" s="28" t="s">
        <v>70</v>
      </c>
      <c r="G16" s="27"/>
      <c r="H16" s="27"/>
      <c r="I16" s="27"/>
      <c r="J16" s="27"/>
      <c r="K16" s="27"/>
      <c r="L16" s="27">
        <f>Traditional!D16</f>
        <v>0</v>
      </c>
      <c r="N16" s="26"/>
      <c r="O16" s="27"/>
      <c r="P16" s="27"/>
      <c r="Q16" s="28"/>
      <c r="R16" s="27"/>
      <c r="S16" s="27"/>
      <c r="T16" s="27"/>
      <c r="U16" s="27"/>
      <c r="V16" s="27"/>
      <c r="W16" s="27"/>
    </row>
    <row r="17" spans="2:23" hidden="1" outlineLevel="1" x14ac:dyDescent="0.2">
      <c r="B17" s="17">
        <f>Traditional!A17</f>
        <v>15</v>
      </c>
      <c r="C17" s="20">
        <f>Traditional!B17</f>
        <v>0</v>
      </c>
      <c r="D17" s="20"/>
      <c r="E17" s="20">
        <f>Traditional!C17</f>
        <v>0</v>
      </c>
      <c r="F17" s="20"/>
      <c r="G17" s="20"/>
      <c r="H17" s="20"/>
      <c r="I17" s="20"/>
      <c r="J17" s="20"/>
      <c r="K17" s="20"/>
      <c r="L17" s="20">
        <f>Traditional!D17</f>
        <v>0</v>
      </c>
      <c r="N17" s="17"/>
      <c r="O17" s="20"/>
      <c r="P17" s="20"/>
      <c r="Q17" s="20"/>
      <c r="R17" s="20"/>
      <c r="S17" s="20"/>
      <c r="T17" s="20"/>
      <c r="U17" s="20"/>
      <c r="V17" s="20"/>
      <c r="W17" s="20"/>
    </row>
    <row r="18" spans="2:23" ht="22" collapsed="1" x14ac:dyDescent="0.2">
      <c r="B18" s="35"/>
      <c r="C18" s="22"/>
      <c r="D18" s="22"/>
      <c r="E18" s="21"/>
      <c r="F18" s="23" t="s">
        <v>25</v>
      </c>
      <c r="G18" s="21"/>
      <c r="H18" s="24">
        <f>SUM(H3:H15)</f>
        <v>187.42000000000002</v>
      </c>
      <c r="I18" s="24">
        <f>SUM(I3:I15)</f>
        <v>133.83361111111111</v>
      </c>
      <c r="J18" s="25"/>
      <c r="K18" s="25"/>
      <c r="L18" s="40">
        <f>SUM(L3:L15)</f>
        <v>129.69388888888892</v>
      </c>
      <c r="N18" s="35"/>
      <c r="O18" s="22"/>
      <c r="P18" s="21"/>
      <c r="Q18" s="23" t="s">
        <v>25</v>
      </c>
      <c r="R18" s="21"/>
      <c r="S18" s="24">
        <f>SUM(S3:S15)</f>
        <v>156</v>
      </c>
      <c r="T18" s="24">
        <f>SUM(T3:T15)</f>
        <v>136.80000000000001</v>
      </c>
      <c r="U18" s="25"/>
      <c r="V18" s="25"/>
      <c r="W18" s="40">
        <f>SUM(W3:W15)</f>
        <v>0</v>
      </c>
    </row>
    <row r="19" spans="2:23" ht="22" x14ac:dyDescent="0.2">
      <c r="B19" s="35"/>
      <c r="C19" s="22"/>
      <c r="D19" s="22"/>
      <c r="E19" s="21"/>
      <c r="F19" s="23" t="s">
        <v>40</v>
      </c>
      <c r="G19" s="21"/>
      <c r="H19" s="24">
        <f>H18/4</f>
        <v>46.855000000000004</v>
      </c>
      <c r="I19" s="24">
        <f>I18/4</f>
        <v>33.458402777777778</v>
      </c>
      <c r="J19" s="25"/>
      <c r="K19" s="25"/>
      <c r="L19" s="40">
        <f>L18/4</f>
        <v>32.42347222222223</v>
      </c>
      <c r="N19" s="35"/>
      <c r="O19" s="22"/>
      <c r="P19" s="21"/>
      <c r="Q19" s="23" t="s">
        <v>40</v>
      </c>
      <c r="R19" s="21"/>
      <c r="S19" s="24">
        <f>S18/4</f>
        <v>39</v>
      </c>
      <c r="T19" s="24">
        <f>T18/4</f>
        <v>34.200000000000003</v>
      </c>
      <c r="U19" s="25"/>
      <c r="V19" s="25"/>
      <c r="W19" s="40">
        <f>W18/4</f>
        <v>0</v>
      </c>
    </row>
    <row r="20" spans="2:23" ht="22" x14ac:dyDescent="0.2">
      <c r="B20" s="35"/>
      <c r="C20" s="22"/>
      <c r="D20" s="22"/>
      <c r="E20" s="21"/>
      <c r="F20" s="23" t="s">
        <v>39</v>
      </c>
      <c r="G20" s="21"/>
      <c r="H20" s="24">
        <f>H19/6</f>
        <v>7.809166666666667</v>
      </c>
      <c r="I20" s="24">
        <f>I19/6</f>
        <v>5.5764004629629627</v>
      </c>
      <c r="J20" s="25"/>
      <c r="K20" s="25"/>
      <c r="L20" s="40">
        <f>L19/6</f>
        <v>5.4039120370370384</v>
      </c>
      <c r="N20" s="35"/>
      <c r="O20" s="22"/>
      <c r="P20" s="21"/>
      <c r="Q20" s="23" t="s">
        <v>39</v>
      </c>
      <c r="R20" s="21"/>
      <c r="S20" s="24">
        <f>S19/6</f>
        <v>6.5</v>
      </c>
      <c r="T20" s="24">
        <f>T19/6</f>
        <v>5.7</v>
      </c>
      <c r="U20" s="25"/>
      <c r="V20" s="25"/>
      <c r="W20" s="40">
        <f>W19/6</f>
        <v>0</v>
      </c>
    </row>
    <row r="21" spans="2:23" ht="32" x14ac:dyDescent="0.2">
      <c r="F21" s="23" t="s">
        <v>106</v>
      </c>
      <c r="I21" s="170">
        <f>1-I18/H18</f>
        <v>0.28591606492844357</v>
      </c>
      <c r="L21" s="171">
        <f>1-L18/H18</f>
        <v>0.30800400763585045</v>
      </c>
      <c r="Q21" s="23" t="s">
        <v>106</v>
      </c>
      <c r="T21" s="65">
        <f>T18/S18-1</f>
        <v>-0.12307692307692297</v>
      </c>
    </row>
    <row r="22" spans="2:23" ht="22" x14ac:dyDescent="0.2">
      <c r="F22" s="172" t="s">
        <v>464</v>
      </c>
      <c r="I22" s="173">
        <f>H18-I18</f>
        <v>53.586388888888905</v>
      </c>
      <c r="L22" s="173">
        <f>H18-L18</f>
        <v>57.726111111111095</v>
      </c>
    </row>
    <row r="23" spans="2:23" ht="22" x14ac:dyDescent="0.2">
      <c r="F23" s="174" t="s">
        <v>465</v>
      </c>
      <c r="I23" s="175">
        <f>(H18-H11-H7)-(I18-I11-I7)</f>
        <v>51.586388888888905</v>
      </c>
      <c r="L23" s="175">
        <f>(H18-H11-H7)-(L18-L11-L7)</f>
        <v>55.666111111111093</v>
      </c>
    </row>
    <row r="25" spans="2:23" ht="46" x14ac:dyDescent="0.2">
      <c r="B25" s="49" t="s">
        <v>86</v>
      </c>
      <c r="C25" s="50" t="s">
        <v>6</v>
      </c>
      <c r="D25" s="50" t="s">
        <v>107</v>
      </c>
      <c r="E25" s="50" t="s">
        <v>87</v>
      </c>
      <c r="F25" s="50" t="s">
        <v>88</v>
      </c>
      <c r="G25" s="50" t="s">
        <v>67</v>
      </c>
      <c r="H25" s="50" t="s">
        <v>83</v>
      </c>
      <c r="I25" s="50" t="s">
        <v>84</v>
      </c>
      <c r="J25" s="50" t="s">
        <v>69</v>
      </c>
      <c r="K25" s="50" t="s">
        <v>67</v>
      </c>
      <c r="L25" s="50" t="s">
        <v>85</v>
      </c>
      <c r="N25" s="49" t="s">
        <v>86</v>
      </c>
      <c r="O25" s="50" t="s">
        <v>7</v>
      </c>
      <c r="P25" s="50" t="s">
        <v>87</v>
      </c>
      <c r="Q25" s="50" t="s">
        <v>88</v>
      </c>
      <c r="R25" s="50" t="s">
        <v>67</v>
      </c>
      <c r="S25" s="50" t="s">
        <v>83</v>
      </c>
      <c r="T25" s="50" t="s">
        <v>84</v>
      </c>
      <c r="U25" s="50" t="s">
        <v>69</v>
      </c>
      <c r="V25" s="50" t="s">
        <v>67</v>
      </c>
      <c r="W25" s="50" t="s">
        <v>85</v>
      </c>
    </row>
    <row r="26" spans="2:23" ht="17" x14ac:dyDescent="0.2">
      <c r="B26" s="41">
        <f>B3</f>
        <v>1</v>
      </c>
      <c r="C26" s="42" t="str">
        <f>Traditional!B27</f>
        <v>Teacher Interaction</v>
      </c>
      <c r="D26" s="44" t="s">
        <v>110</v>
      </c>
      <c r="E26" s="43" t="s">
        <v>48</v>
      </c>
      <c r="F26" s="44" t="s">
        <v>98</v>
      </c>
      <c r="G26" s="45">
        <v>0.3</v>
      </c>
      <c r="H26" s="46">
        <f>Traditional!F27</f>
        <v>2.5</v>
      </c>
      <c r="I26" s="47">
        <f>H26*(1-G26)</f>
        <v>1.75</v>
      </c>
      <c r="J26" s="52" t="s">
        <v>91</v>
      </c>
      <c r="K26" s="52" t="s">
        <v>91</v>
      </c>
      <c r="L26" s="55" t="s">
        <v>91</v>
      </c>
      <c r="N26" s="41">
        <f>B26</f>
        <v>1</v>
      </c>
      <c r="O26" s="42" t="str">
        <f>Traditional!I27</f>
        <v>Vendor Management</v>
      </c>
      <c r="P26" s="43" t="str">
        <f>Traditional!J27</f>
        <v>Approving bills, co ordinating contracts, Budgeting and Buying</v>
      </c>
      <c r="Q26" s="44" t="s">
        <v>100</v>
      </c>
      <c r="R26" s="45">
        <v>0.4</v>
      </c>
      <c r="S26" s="46">
        <f>Traditional!M27</f>
        <v>48</v>
      </c>
      <c r="T26" s="47">
        <f>S26*(1-R26)</f>
        <v>28.799999999999997</v>
      </c>
      <c r="U26" s="52" t="s">
        <v>91</v>
      </c>
      <c r="V26" s="52" t="s">
        <v>91</v>
      </c>
      <c r="W26" s="52" t="s">
        <v>91</v>
      </c>
    </row>
    <row r="27" spans="2:23" ht="34" x14ac:dyDescent="0.2">
      <c r="B27" s="16">
        <f>B26+1</f>
        <v>2</v>
      </c>
      <c r="C27" s="42" t="str">
        <f>Traditional!B28</f>
        <v>Child Interaction</v>
      </c>
      <c r="D27" s="44" t="s">
        <v>112</v>
      </c>
      <c r="E27" s="30" t="s">
        <v>49</v>
      </c>
      <c r="F27" s="30" t="s">
        <v>113</v>
      </c>
      <c r="G27" s="38">
        <v>0.2</v>
      </c>
      <c r="H27" s="46">
        <f>Traditional!F28</f>
        <v>2.5</v>
      </c>
      <c r="I27" s="47">
        <f t="shared" ref="I27:I28" si="6">H27*(1-G27)</f>
        <v>2</v>
      </c>
      <c r="J27" s="52" t="s">
        <v>91</v>
      </c>
      <c r="K27" s="52" t="s">
        <v>91</v>
      </c>
      <c r="L27" s="56" t="s">
        <v>91</v>
      </c>
      <c r="N27" s="16">
        <f>N26+1</f>
        <v>2</v>
      </c>
      <c r="O27" s="42" t="str">
        <f>Traditional!I28</f>
        <v>School Organization and Staffing</v>
      </c>
      <c r="P27" s="43" t="str">
        <f>Traditional!J28</f>
        <v>Staffing teachers and managing their schedule, Leadership and Culture, Programming and building systems, Hiring and training</v>
      </c>
      <c r="Q27" s="30" t="s">
        <v>101</v>
      </c>
      <c r="R27" s="38">
        <v>0.4</v>
      </c>
      <c r="S27" s="46">
        <f>Traditional!M28</f>
        <v>60</v>
      </c>
      <c r="T27" s="47">
        <f t="shared" ref="T27:T31" si="7">S27*(1-R27)</f>
        <v>36</v>
      </c>
      <c r="U27" s="52" t="s">
        <v>91</v>
      </c>
      <c r="V27" s="52" t="s">
        <v>91</v>
      </c>
      <c r="W27" s="52" t="s">
        <v>91</v>
      </c>
    </row>
    <row r="28" spans="2:23" ht="34" x14ac:dyDescent="0.2">
      <c r="B28" s="16">
        <f t="shared" ref="B28:B40" si="8">B27+1</f>
        <v>3</v>
      </c>
      <c r="C28" s="42" t="str">
        <f>Traditional!B29</f>
        <v>Administrative activities</v>
      </c>
      <c r="D28" s="44" t="s">
        <v>111</v>
      </c>
      <c r="E28" s="30" t="s">
        <v>52</v>
      </c>
      <c r="F28" s="30" t="s">
        <v>99</v>
      </c>
      <c r="G28" s="38">
        <v>0.5</v>
      </c>
      <c r="H28" s="46">
        <f>Traditional!F29</f>
        <v>0.67</v>
      </c>
      <c r="I28" s="57">
        <f t="shared" si="6"/>
        <v>0.33500000000000002</v>
      </c>
      <c r="J28" s="52" t="s">
        <v>91</v>
      </c>
      <c r="K28" s="52" t="s">
        <v>91</v>
      </c>
      <c r="L28" s="56" t="s">
        <v>91</v>
      </c>
      <c r="N28" s="16">
        <f t="shared" ref="N28:N40" si="9">N27+1</f>
        <v>3</v>
      </c>
      <c r="O28" s="42" t="str">
        <f>Traditional!I29</f>
        <v>School Upgrades</v>
      </c>
      <c r="P28" s="43" t="str">
        <f>Traditional!J29</f>
        <v>Always looking to improve quality of the infrastructure of the schools, Professional Development of their staff, evaluation of their staff)</v>
      </c>
      <c r="Q28" s="30" t="s">
        <v>102</v>
      </c>
      <c r="R28" s="38">
        <v>0.2</v>
      </c>
      <c r="S28" s="46">
        <f>Traditional!M29</f>
        <v>15</v>
      </c>
      <c r="T28" s="47">
        <f t="shared" si="7"/>
        <v>12</v>
      </c>
      <c r="U28" s="52" t="s">
        <v>91</v>
      </c>
      <c r="V28" s="52" t="s">
        <v>91</v>
      </c>
      <c r="W28" s="52" t="s">
        <v>91</v>
      </c>
    </row>
    <row r="29" spans="2:23" ht="17" x14ac:dyDescent="0.2">
      <c r="B29" s="16">
        <f t="shared" si="8"/>
        <v>4</v>
      </c>
      <c r="C29" s="42"/>
      <c r="D29" s="44"/>
      <c r="E29" s="30"/>
      <c r="F29" s="30"/>
      <c r="G29" s="38"/>
      <c r="H29" s="36"/>
      <c r="I29" s="32"/>
      <c r="J29" s="30"/>
      <c r="K29" s="38"/>
      <c r="L29" s="39"/>
      <c r="N29" s="16">
        <f t="shared" si="9"/>
        <v>4</v>
      </c>
      <c r="O29" s="42" t="str">
        <f>Traditional!I30</f>
        <v xml:space="preserve"> Communication and Public Relations</v>
      </c>
      <c r="P29" s="43" t="str">
        <f>Traditional!J30</f>
        <v>Online presence</v>
      </c>
      <c r="Q29" s="30" t="s">
        <v>105</v>
      </c>
      <c r="R29" s="38">
        <v>0.2</v>
      </c>
      <c r="S29" s="46">
        <f>Traditional!M30</f>
        <v>8</v>
      </c>
      <c r="T29" s="47">
        <f t="shared" si="7"/>
        <v>6.4</v>
      </c>
      <c r="U29" s="52" t="s">
        <v>91</v>
      </c>
      <c r="V29" s="52" t="s">
        <v>91</v>
      </c>
      <c r="W29" s="52" t="s">
        <v>91</v>
      </c>
    </row>
    <row r="30" spans="2:23" ht="51" x14ac:dyDescent="0.2">
      <c r="B30" s="16">
        <f t="shared" si="8"/>
        <v>5</v>
      </c>
      <c r="C30" s="42"/>
      <c r="D30" s="44"/>
      <c r="E30" s="30"/>
      <c r="F30" s="30"/>
      <c r="G30" s="38"/>
      <c r="H30" s="36"/>
      <c r="I30" s="32"/>
      <c r="J30" s="30"/>
      <c r="K30" s="38"/>
      <c r="L30" s="39"/>
      <c r="N30" s="16">
        <f t="shared" si="9"/>
        <v>5</v>
      </c>
      <c r="O30" s="42" t="str">
        <f>Traditional!I31</f>
        <v>Student Lifecycle</v>
      </c>
      <c r="P30" s="43" t="str">
        <f>Traditional!J31</f>
        <v>From lead gen to conversion to the end of the year report of student performance</v>
      </c>
      <c r="Q30" s="30" t="s">
        <v>103</v>
      </c>
      <c r="R30" s="38">
        <v>0.3</v>
      </c>
      <c r="S30" s="46">
        <f>Traditional!M31</f>
        <v>24</v>
      </c>
      <c r="T30" s="47">
        <f t="shared" si="7"/>
        <v>16.799999999999997</v>
      </c>
      <c r="U30" s="52" t="s">
        <v>91</v>
      </c>
      <c r="V30" s="52" t="s">
        <v>91</v>
      </c>
      <c r="W30" s="52" t="s">
        <v>91</v>
      </c>
    </row>
    <row r="31" spans="2:23" ht="17" x14ac:dyDescent="0.2">
      <c r="B31" s="16">
        <f t="shared" si="8"/>
        <v>6</v>
      </c>
      <c r="C31" s="29"/>
      <c r="D31" s="31"/>
      <c r="E31" s="30"/>
      <c r="F31" s="30"/>
      <c r="G31" s="37"/>
      <c r="H31" s="36"/>
      <c r="I31" s="32"/>
      <c r="J31" s="30"/>
      <c r="K31" s="37"/>
      <c r="L31" s="39"/>
      <c r="N31" s="16">
        <f t="shared" si="9"/>
        <v>6</v>
      </c>
      <c r="O31" s="42" t="str">
        <f>Traditional!I32</f>
        <v>Organisational Wellbeing</v>
      </c>
      <c r="P31" s="43" t="str">
        <f>Traditional!J32</f>
        <v>General Interactions</v>
      </c>
      <c r="Q31" s="30" t="s">
        <v>104</v>
      </c>
      <c r="R31" s="37">
        <v>0</v>
      </c>
      <c r="S31" s="46">
        <f>Traditional!M32</f>
        <v>24</v>
      </c>
      <c r="T31" s="47">
        <f t="shared" si="7"/>
        <v>24</v>
      </c>
      <c r="U31" s="52" t="s">
        <v>91</v>
      </c>
      <c r="V31" s="52" t="s">
        <v>91</v>
      </c>
      <c r="W31" s="52" t="s">
        <v>91</v>
      </c>
    </row>
    <row r="32" spans="2:23" hidden="1" outlineLevel="1" x14ac:dyDescent="0.2">
      <c r="B32" s="16">
        <f t="shared" si="8"/>
        <v>7</v>
      </c>
      <c r="C32" s="29"/>
      <c r="D32" s="31"/>
      <c r="E32" s="30"/>
      <c r="F32" s="30"/>
      <c r="G32" s="37"/>
      <c r="H32" s="36"/>
      <c r="I32" s="32"/>
      <c r="J32" s="30"/>
      <c r="K32" s="37"/>
      <c r="L32" s="39"/>
      <c r="N32" s="16">
        <f t="shared" si="9"/>
        <v>7</v>
      </c>
      <c r="O32" s="42"/>
      <c r="P32" s="30"/>
      <c r="Q32" s="30"/>
      <c r="R32" s="37"/>
      <c r="S32" s="36"/>
      <c r="T32" s="32"/>
      <c r="U32" s="30"/>
      <c r="V32" s="37"/>
      <c r="W32" s="39"/>
    </row>
    <row r="33" spans="2:23" hidden="1" outlineLevel="1" x14ac:dyDescent="0.2">
      <c r="B33" s="16">
        <f t="shared" si="8"/>
        <v>8</v>
      </c>
      <c r="C33" s="29"/>
      <c r="D33" s="31"/>
      <c r="E33" s="30"/>
      <c r="F33" s="34"/>
      <c r="G33" s="37"/>
      <c r="H33" s="36"/>
      <c r="I33" s="32"/>
      <c r="J33" s="30"/>
      <c r="K33" s="37"/>
      <c r="L33" s="39"/>
      <c r="N33" s="16">
        <f t="shared" si="9"/>
        <v>8</v>
      </c>
      <c r="O33" s="42"/>
      <c r="P33" s="30"/>
      <c r="Q33" s="34"/>
      <c r="R33" s="37"/>
      <c r="S33" s="36"/>
      <c r="T33" s="32"/>
      <c r="U33" s="30"/>
      <c r="V33" s="37"/>
      <c r="W33" s="39"/>
    </row>
    <row r="34" spans="2:23" hidden="1" outlineLevel="1" x14ac:dyDescent="0.2">
      <c r="B34" s="16">
        <f t="shared" si="8"/>
        <v>9</v>
      </c>
      <c r="C34" s="29"/>
      <c r="D34" s="31"/>
      <c r="E34" s="30"/>
      <c r="F34" s="30"/>
      <c r="G34" s="37"/>
      <c r="H34" s="36"/>
      <c r="I34" s="32"/>
      <c r="J34" s="30"/>
      <c r="K34" s="37"/>
      <c r="L34" s="39"/>
      <c r="N34" s="16">
        <f t="shared" si="9"/>
        <v>9</v>
      </c>
      <c r="O34" s="42"/>
      <c r="P34" s="30"/>
      <c r="Q34" s="30"/>
      <c r="R34" s="37"/>
      <c r="S34" s="36"/>
      <c r="T34" s="32"/>
      <c r="U34" s="30"/>
      <c r="V34" s="37"/>
      <c r="W34" s="39"/>
    </row>
    <row r="35" spans="2:23" hidden="1" outlineLevel="1" x14ac:dyDescent="0.2">
      <c r="B35" s="16">
        <f t="shared" si="8"/>
        <v>10</v>
      </c>
      <c r="C35" s="29"/>
      <c r="D35" s="31"/>
      <c r="E35" s="30"/>
      <c r="F35" s="30"/>
      <c r="G35" s="37"/>
      <c r="H35" s="36"/>
      <c r="I35" s="32"/>
      <c r="J35" s="30"/>
      <c r="K35" s="37"/>
      <c r="L35" s="39"/>
      <c r="N35" s="16">
        <f t="shared" si="9"/>
        <v>10</v>
      </c>
      <c r="O35" s="42"/>
      <c r="P35" s="30"/>
      <c r="Q35" s="30"/>
      <c r="R35" s="37"/>
      <c r="S35" s="36"/>
      <c r="T35" s="32"/>
      <c r="U35" s="30"/>
      <c r="V35" s="37"/>
      <c r="W35" s="39"/>
    </row>
    <row r="36" spans="2:23" hidden="1" outlineLevel="1" x14ac:dyDescent="0.2">
      <c r="B36" s="16">
        <f t="shared" si="8"/>
        <v>11</v>
      </c>
      <c r="C36" s="29"/>
      <c r="D36" s="31"/>
      <c r="E36" s="30"/>
      <c r="F36" s="30"/>
      <c r="G36" s="37"/>
      <c r="H36" s="36"/>
      <c r="I36" s="32"/>
      <c r="J36" s="30"/>
      <c r="K36" s="37"/>
      <c r="L36" s="39"/>
      <c r="N36" s="16">
        <f t="shared" si="9"/>
        <v>11</v>
      </c>
      <c r="O36" s="29"/>
      <c r="P36" s="30"/>
      <c r="Q36" s="30"/>
      <c r="R36" s="37"/>
      <c r="S36" s="36"/>
      <c r="T36" s="32"/>
      <c r="U36" s="30"/>
      <c r="V36" s="37"/>
      <c r="W36" s="39"/>
    </row>
    <row r="37" spans="2:23" hidden="1" outlineLevel="1" x14ac:dyDescent="0.2">
      <c r="B37" s="16">
        <f t="shared" si="8"/>
        <v>12</v>
      </c>
      <c r="C37" s="29"/>
      <c r="D37" s="31"/>
      <c r="E37" s="30"/>
      <c r="F37" s="30"/>
      <c r="G37" s="37"/>
      <c r="H37" s="36"/>
      <c r="I37" s="32"/>
      <c r="J37" s="30"/>
      <c r="K37" s="37"/>
      <c r="L37" s="39"/>
      <c r="N37" s="16">
        <f t="shared" si="9"/>
        <v>12</v>
      </c>
      <c r="O37" s="29"/>
      <c r="P37" s="30"/>
      <c r="Q37" s="30"/>
      <c r="R37" s="37"/>
      <c r="S37" s="36"/>
      <c r="T37" s="32"/>
      <c r="U37" s="30"/>
      <c r="V37" s="37"/>
      <c r="W37" s="39"/>
    </row>
    <row r="38" spans="2:23" hidden="1" outlineLevel="1" x14ac:dyDescent="0.2">
      <c r="B38" s="16">
        <f t="shared" si="8"/>
        <v>13</v>
      </c>
      <c r="C38" s="29"/>
      <c r="D38" s="31"/>
      <c r="E38" s="30"/>
      <c r="F38" s="30"/>
      <c r="G38" s="37"/>
      <c r="H38" s="36"/>
      <c r="I38" s="32"/>
      <c r="J38" s="30"/>
      <c r="K38" s="37"/>
      <c r="L38" s="39"/>
      <c r="N38" s="16">
        <f t="shared" si="9"/>
        <v>13</v>
      </c>
      <c r="O38" s="29"/>
      <c r="P38" s="30"/>
      <c r="Q38" s="30"/>
      <c r="R38" s="37"/>
      <c r="S38" s="36"/>
      <c r="T38" s="32"/>
      <c r="U38" s="30"/>
      <c r="V38" s="37"/>
      <c r="W38" s="39"/>
    </row>
    <row r="39" spans="2:23" hidden="1" outlineLevel="1" x14ac:dyDescent="0.2">
      <c r="B39" s="16">
        <f t="shared" si="8"/>
        <v>14</v>
      </c>
      <c r="C39" s="27"/>
      <c r="D39" s="27"/>
      <c r="E39" s="27"/>
      <c r="F39" s="28"/>
      <c r="G39" s="27"/>
      <c r="H39" s="27"/>
      <c r="I39" s="27"/>
      <c r="J39" s="27"/>
      <c r="K39" s="27"/>
      <c r="L39" s="27"/>
      <c r="N39" s="16">
        <f t="shared" si="9"/>
        <v>14</v>
      </c>
      <c r="O39" s="27"/>
      <c r="P39" s="27"/>
      <c r="Q39" s="28"/>
      <c r="R39" s="27"/>
      <c r="S39" s="27"/>
      <c r="T39" s="27"/>
      <c r="U39" s="27"/>
      <c r="V39" s="27"/>
      <c r="W39" s="27"/>
    </row>
    <row r="40" spans="2:23" hidden="1" outlineLevel="1" x14ac:dyDescent="0.2">
      <c r="B40" s="16">
        <f t="shared" si="8"/>
        <v>15</v>
      </c>
      <c r="C40" s="20"/>
      <c r="D40" s="20"/>
      <c r="E40" s="20"/>
      <c r="F40" s="20"/>
      <c r="G40" s="20"/>
      <c r="H40" s="20"/>
      <c r="I40" s="20"/>
      <c r="J40" s="20"/>
      <c r="K40" s="20"/>
      <c r="L40" s="20"/>
      <c r="N40" s="16">
        <f t="shared" si="9"/>
        <v>15</v>
      </c>
      <c r="O40" s="20"/>
      <c r="P40" s="20"/>
      <c r="Q40" s="20"/>
      <c r="R40" s="20"/>
      <c r="S40" s="20"/>
      <c r="T40" s="20"/>
      <c r="U40" s="20"/>
      <c r="V40" s="20"/>
      <c r="W40" s="20"/>
    </row>
    <row r="41" spans="2:23" ht="22" collapsed="1" x14ac:dyDescent="0.2">
      <c r="B41" s="35"/>
      <c r="C41" s="22"/>
      <c r="D41" s="22"/>
      <c r="E41" s="21"/>
      <c r="F41" s="23" t="s">
        <v>25</v>
      </c>
      <c r="G41" s="21"/>
      <c r="H41" s="24">
        <f>SUM(H26:H38)</f>
        <v>5.67</v>
      </c>
      <c r="I41" s="24">
        <f>SUM(I26:I38)</f>
        <v>4.085</v>
      </c>
      <c r="J41" s="25"/>
      <c r="K41" s="25"/>
      <c r="L41" s="40">
        <f>SUM(L26:L38)</f>
        <v>0</v>
      </c>
      <c r="N41" s="35"/>
      <c r="O41" s="22"/>
      <c r="P41" s="21"/>
      <c r="Q41" s="23" t="s">
        <v>25</v>
      </c>
      <c r="R41" s="21"/>
      <c r="S41" s="24">
        <f>SUM(S26:S38)</f>
        <v>179</v>
      </c>
      <c r="T41" s="24">
        <f>SUM(T26:T38)</f>
        <v>124</v>
      </c>
      <c r="U41" s="25"/>
      <c r="V41" s="25"/>
      <c r="W41" s="40">
        <f>SUM(W26:W38)</f>
        <v>0</v>
      </c>
    </row>
    <row r="42" spans="2:23" ht="22" x14ac:dyDescent="0.2">
      <c r="B42" s="35"/>
      <c r="C42" s="22"/>
      <c r="D42" s="22"/>
      <c r="E42" s="21"/>
      <c r="F42" s="23" t="s">
        <v>40</v>
      </c>
      <c r="G42" s="21"/>
      <c r="H42" s="24">
        <f>H41/4</f>
        <v>1.4175</v>
      </c>
      <c r="I42" s="24">
        <f>I41/4</f>
        <v>1.02125</v>
      </c>
      <c r="J42" s="25"/>
      <c r="K42" s="25"/>
      <c r="L42" s="40">
        <f>L41/4</f>
        <v>0</v>
      </c>
      <c r="N42" s="35"/>
      <c r="O42" s="22"/>
      <c r="P42" s="21"/>
      <c r="Q42" s="23" t="s">
        <v>40</v>
      </c>
      <c r="R42" s="21"/>
      <c r="S42" s="24">
        <f>S41/4</f>
        <v>44.75</v>
      </c>
      <c r="T42" s="24">
        <f>T41/4</f>
        <v>31</v>
      </c>
      <c r="U42" s="25"/>
      <c r="V42" s="25"/>
      <c r="W42" s="40">
        <f>W41/4</f>
        <v>0</v>
      </c>
    </row>
    <row r="43" spans="2:23" ht="22" x14ac:dyDescent="0.2">
      <c r="B43" s="35"/>
      <c r="C43" s="22"/>
      <c r="D43" s="22"/>
      <c r="E43" s="21"/>
      <c r="F43" s="23" t="s">
        <v>39</v>
      </c>
      <c r="G43" s="21"/>
      <c r="H43" s="24">
        <f>H42/6</f>
        <v>0.23624999999999999</v>
      </c>
      <c r="I43" s="24">
        <f>I42/6</f>
        <v>0.17020833333333332</v>
      </c>
      <c r="J43" s="25"/>
      <c r="K43" s="25"/>
      <c r="L43" s="40">
        <f>L42/6</f>
        <v>0</v>
      </c>
      <c r="N43" s="35"/>
      <c r="O43" s="22"/>
      <c r="P43" s="21"/>
      <c r="Q43" s="23" t="s">
        <v>39</v>
      </c>
      <c r="R43" s="21"/>
      <c r="S43" s="24">
        <f>S42/6</f>
        <v>7.458333333333333</v>
      </c>
      <c r="T43" s="24">
        <f>T42/6</f>
        <v>5.166666666666667</v>
      </c>
      <c r="U43" s="25"/>
      <c r="V43" s="25"/>
      <c r="W43" s="40">
        <f>W42/6</f>
        <v>0</v>
      </c>
    </row>
    <row r="44" spans="2:23" ht="32" x14ac:dyDescent="0.2">
      <c r="F44" s="23" t="s">
        <v>106</v>
      </c>
      <c r="I44" s="65">
        <f>I41/H41-1</f>
        <v>-0.27954144620811283</v>
      </c>
      <c r="Q44" s="23" t="s">
        <v>106</v>
      </c>
      <c r="T44" s="65">
        <f>T41/S41-1</f>
        <v>-0.30726256983240219</v>
      </c>
    </row>
  </sheetData>
  <conditionalFormatting sqref="G3:G15">
    <cfRule type="colorScale" priority="8">
      <colorScale>
        <cfvo type="min"/>
        <cfvo type="percentile" val="50"/>
        <cfvo type="max"/>
        <color rgb="FFF8696B"/>
        <color rgb="FFFFEB84"/>
        <color rgb="FF63BE7B"/>
      </colorScale>
    </cfRule>
  </conditionalFormatting>
  <conditionalFormatting sqref="G26:G38">
    <cfRule type="colorScale" priority="4">
      <colorScale>
        <cfvo type="min"/>
        <cfvo type="percentile" val="50"/>
        <cfvo type="max"/>
        <color rgb="FFF8696B"/>
        <color rgb="FFFFEB84"/>
        <color rgb="FF63BE7B"/>
      </colorScale>
    </cfRule>
  </conditionalFormatting>
  <conditionalFormatting sqref="K3:K15">
    <cfRule type="colorScale" priority="7">
      <colorScale>
        <cfvo type="min"/>
        <cfvo type="percentile" val="50"/>
        <cfvo type="max"/>
        <color rgb="FFF8696B"/>
        <color rgb="FFFFEB84"/>
        <color rgb="FF63BE7B"/>
      </colorScale>
    </cfRule>
  </conditionalFormatting>
  <conditionalFormatting sqref="K26:K38">
    <cfRule type="colorScale" priority="3">
      <colorScale>
        <cfvo type="min"/>
        <cfvo type="percentile" val="50"/>
        <cfvo type="max"/>
        <color rgb="FFF8696B"/>
        <color rgb="FFFFEB84"/>
        <color rgb="FF63BE7B"/>
      </colorScale>
    </cfRule>
  </conditionalFormatting>
  <conditionalFormatting sqref="R3:R15">
    <cfRule type="colorScale" priority="6">
      <colorScale>
        <cfvo type="min"/>
        <cfvo type="percentile" val="50"/>
        <cfvo type="max"/>
        <color rgb="FFF8696B"/>
        <color rgb="FFFFEB84"/>
        <color rgb="FF63BE7B"/>
      </colorScale>
    </cfRule>
  </conditionalFormatting>
  <conditionalFormatting sqref="R26:R38">
    <cfRule type="colorScale" priority="2">
      <colorScale>
        <cfvo type="min"/>
        <cfvo type="percentile" val="50"/>
        <cfvo type="max"/>
        <color rgb="FFF8696B"/>
        <color rgb="FFFFEB84"/>
        <color rgb="FF63BE7B"/>
      </colorScale>
    </cfRule>
  </conditionalFormatting>
  <conditionalFormatting sqref="V3:V15">
    <cfRule type="colorScale" priority="5">
      <colorScale>
        <cfvo type="min"/>
        <cfvo type="percentile" val="50"/>
        <cfvo type="max"/>
        <color rgb="FFF8696B"/>
        <color rgb="FFFFEB84"/>
        <color rgb="FF63BE7B"/>
      </colorScale>
    </cfRule>
  </conditionalFormatting>
  <conditionalFormatting sqref="V26:V38">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horizontalDpi="0" verticalDpi="0"/>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Claude Log</vt:lpstr>
      <vt:lpstr>PRD</vt:lpstr>
      <vt:lpstr>Traditional</vt:lpstr>
      <vt:lpstr>EduWand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Melvyn Brodie</dc:creator>
  <cp:lastModifiedBy>Melvyn Brodie</cp:lastModifiedBy>
  <dcterms:created xsi:type="dcterms:W3CDTF">2026-07-15T08:46:58Z</dcterms:created>
  <dcterms:modified xsi:type="dcterms:W3CDTF">2026-07-26T03:33:34Z</dcterms:modified>
</cp:coreProperties>
</file>